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reening" sheetId="1" state="visible" r:id="rId3"/>
    <sheet name="Summary" sheetId="2" state="visible" r:id="rId4"/>
    <sheet name="Protocol" sheetId="3" state="visible" r:id="rId5"/>
  </sheets>
  <definedNames>
    <definedName function="false" hidden="true" localSheetId="0" name="_xlnm._FilterDatabase" vbProcedure="false">Screening!$A$1:$R$489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<sst xmlns="http://schemas.openxmlformats.org/spreadsheetml/2006/main" count="5072" uniqueCount="1905">
  <si>
    <t xml:space="preserve">ID</t>
  </si>
  <si>
    <t xml:space="preserve">Database</t>
  </si>
  <si>
    <t xml:space="preserve">Title</t>
  </si>
  <si>
    <t xml:space="preserve">Authors</t>
  </si>
  <si>
    <t xml:space="preserve">Year</t>
  </si>
  <si>
    <t xml:space="preserve">Source</t>
  </si>
  <si>
    <t xml:space="preserve">Document type</t>
  </si>
  <si>
    <t xml:space="preserve">DOI</t>
  </si>
  <si>
    <t xml:space="preserve">FL</t>
  </si>
  <si>
    <t xml:space="preserve">DP</t>
  </si>
  <si>
    <t xml:space="preserve">XAI</t>
  </si>
  <si>
    <t xml:space="preserve">KG</t>
  </si>
  <si>
    <t xml:space="preserve">DL</t>
  </si>
  <si>
    <t xml:space="preserve">Decision</t>
  </si>
  <si>
    <t xml:space="preserve">Reason</t>
  </si>
  <si>
    <t xml:space="preserve">Closest to this study</t>
  </si>
  <si>
    <t xml:space="preserve">Author check (Agree/Disagree)</t>
  </si>
  <si>
    <t xml:space="preserve">Author notes</t>
  </si>
  <si>
    <t xml:space="preserve">Scopus</t>
  </si>
  <si>
    <t xml:space="preserve">A Systematic Review of Intrusion Detection Systems, Challenges, and Emerging AI-Driven Solutions</t>
  </si>
  <si>
    <t xml:space="preserve">Reddy A.S.; Shanthi S.G.; Reddy K.P.</t>
  </si>
  <si>
    <t xml:space="preserve">GSEACT 2026 - 2026 IEEE Global Symposium on Emerging and Communication Technologies</t>
  </si>
  <si>
    <t xml:space="preserve">Conference paper</t>
  </si>
  <si>
    <t xml:space="preserve">10.1109/GSEACT68539.2026.11620510</t>
  </si>
  <si>
    <t xml:space="preserve">Y</t>
  </si>
  <si>
    <t xml:space="preserve">E1</t>
  </si>
  <si>
    <t xml:space="preserve">Review, survey, or overview (kept as background)</t>
  </si>
  <si>
    <t xml:space="preserve">Cybersecurity in Smart Grids using Machine Learning: A Systematic Literature Review</t>
  </si>
  <si>
    <t xml:space="preserve">Nelufule N.; Mudau C.; Nkwe B.; Chishiri S.; Mncwango L.; Mutenwa M.</t>
  </si>
  <si>
    <t xml:space="preserve">Proceedings of 6th International Conference on IoT Based Control Networks and Intelligent Systems, ICICNIS 2025</t>
  </si>
  <si>
    <t xml:space="preserve">10.1109/ICICNIS66685.2025.11315506</t>
  </si>
  <si>
    <t xml:space="preserve">SAFENET AI- AI -Powered Intrusion Prevention System</t>
  </si>
  <si>
    <t xml:space="preserve">Wankhade A.; Wankhede T.; Yadav A.; Bhimanpallewar R.N.</t>
  </si>
  <si>
    <t xml:space="preserve">2025 IEEE Pune Section International Conference, PuneCon 2025</t>
  </si>
  <si>
    <t xml:space="preserve">10.1109/PuneCon67554.2025.11377588</t>
  </si>
  <si>
    <t xml:space="preserve">INCLUDE</t>
  </si>
  <si>
    <t xml:space="preserve">Meets all inclusion criteria at title/abstract level</t>
  </si>
  <si>
    <t xml:space="preserve">A Federated GAN-Augmented Explainable Deep Learning Framework for IoT Intrusion Detection</t>
  </si>
  <si>
    <t xml:space="preserve">Ramya S.P.; Kanimozhi K.V.; Sreesubha S.; Agoramoorthy M.; Loganayagi S.</t>
  </si>
  <si>
    <t xml:space="preserve">Proceedings of the 4th International Conference on Intelligent Data Communication Technologies and Internet of Things, IDCioT 2026</t>
  </si>
  <si>
    <t xml:space="preserve">10.1109/IDCIoT67589.2026.11455702</t>
  </si>
  <si>
    <t xml:space="preserve">A Federated Attention-Enhanced Graph Neural Network Framework for Real-Time Intrusion Detection in Edge Computing Environments</t>
  </si>
  <si>
    <t xml:space="preserve">Kumar A.; Kaur S.; Sachdeva R.; Kaur K.</t>
  </si>
  <si>
    <t xml:space="preserve">2025 IEEE 4th International Conference for Advancement in Technology, ICONAT 2025</t>
  </si>
  <si>
    <t xml:space="preserve">10.1109/ICONAT66879.2025.11362512</t>
  </si>
  <si>
    <t xml:space="preserve">Smart Grid Intrusion Detection for IEC 60870-5-104 With Feature Optimization, Privacy Protection, and Honeypot-Firewall Integration</t>
  </si>
  <si>
    <t xml:space="preserve">Mrudula P.S.; Raj R.D.A.; Pallakonda A.; Reddy Y.R.A.; Prakasha K.K.; Anandkumar V.</t>
  </si>
  <si>
    <t xml:space="preserve">IEEE Access</t>
  </si>
  <si>
    <t xml:space="preserve">Article</t>
  </si>
  <si>
    <t xml:space="preserve">10.1109/ACCESS.2025.3590151</t>
  </si>
  <si>
    <t xml:space="preserve">Federated learning explainable deep learning framework for enhanced internet of medical things security</t>
  </si>
  <si>
    <t xml:space="preserve">Saheed Y.K.; Chukwuere J.E.</t>
  </si>
  <si>
    <t xml:space="preserve">Discover Artificial Intelligence</t>
  </si>
  <si>
    <t xml:space="preserve">10.1007/s44163-026-02034-0</t>
  </si>
  <si>
    <t xml:space="preserve">A Review of the Progressive Odyssey of AI-Driven Intrusion Detection Within Embedded Systems</t>
  </si>
  <si>
    <t xml:space="preserve">Alansari A.; Alfaqeer R.; Hammoudeh M.</t>
  </si>
  <si>
    <t xml:space="preserve">Lecture Notes in Computer Science (including subseries Lecture Notes in Artificial Intelligence and Lecture Notes in Bioinformatics)</t>
  </si>
  <si>
    <t xml:space="preserve">10.1007/978-3-031-61231-2_1</t>
  </si>
  <si>
    <t xml:space="preserve">Review article</t>
  </si>
  <si>
    <t xml:space="preserve">Towards Transparent AI-Powered Cybersecurity in Financial Systems: The Deployment of Federated Learning and Explainable AI in the CaixaBank pilot</t>
  </si>
  <si>
    <t xml:space="preserve">Karampasi A.; Radoglou-Grammatikis P.; Pawlicki M.; Choras R.; De Pozuelo R.M.; Sarigiannidis P.; Puchalski D.; Pawlicka A.; Kozik R.; Choras M.</t>
  </si>
  <si>
    <t xml:space="preserve">IEEE International Conference on Data Mining Workshops, ICDMW</t>
  </si>
  <si>
    <t xml:space="preserve">10.1109/ICDMW65004.2024.00041</t>
  </si>
  <si>
    <t xml:space="preserve">Quantum Federated Learning for DoS Attack Detection and Privacy Preserving of VANET: A Novel Hybrid Machine Learning Approach</t>
  </si>
  <si>
    <t xml:space="preserve">Baihan A.; Ullah Z.; Irshad A.; Shafiq M.; Choi J.-G.; Amoon M.</t>
  </si>
  <si>
    <t xml:space="preserve">Transactions on Emerging Telecommunications Technologies</t>
  </si>
  <si>
    <t xml:space="preserve">10.1002/ett.70375</t>
  </si>
  <si>
    <t xml:space="preserve">Towards Explainable and Distributed Intrusion Detection in IoTs: A Federated Learning-Based Approach</t>
  </si>
  <si>
    <t xml:space="preserve">Mutlu G.; Rihani N.; Sahingoz O.K.</t>
  </si>
  <si>
    <t xml:space="preserve">2025 Innovations in Intelligent Systems and Applications Conference, ASYU 2025</t>
  </si>
  <si>
    <t xml:space="preserve">10.1109/ASYU67174.2025.11208321</t>
  </si>
  <si>
    <t xml:space="preserve">XDFC-IDS: An explainable decentralized federated class-incremental fusion framework for intrusion detection</t>
  </si>
  <si>
    <t xml:space="preserve">Huu Quyen N.; Pham V.-H.; The Duy P.</t>
  </si>
  <si>
    <t xml:space="preserve">Expert Systems with Applications</t>
  </si>
  <si>
    <t xml:space="preserve">10.1016/j.eswa.2026.133417</t>
  </si>
  <si>
    <t xml:space="preserve">Privacy-Preserving Federated and Explainable BigSecure-IoT Architecture for Robust Intrusion Detection in IoT Big-Data Platforms</t>
  </si>
  <si>
    <t xml:space="preserve">Girisha C.; Saritha S.J.</t>
  </si>
  <si>
    <t xml:space="preserve">Proceedings of 4th International Conference on Electronics and Renewable Systems, ICEARS 2026</t>
  </si>
  <si>
    <t xml:space="preserve">10.1109/ICEARS67481.2026.11416610</t>
  </si>
  <si>
    <t xml:space="preserve">Creating a Trustworthy IDS for Cyber Physical Systems</t>
  </si>
  <si>
    <t xml:space="preserve">Cardenas M.C.G.; Cooper A.; Roy K.; Mason J.</t>
  </si>
  <si>
    <t xml:space="preserve">icABCD 2025 - Proceedings of the 2025 International Conference on Ai, Big Data, Computing and Data Communication Systems</t>
  </si>
  <si>
    <t xml:space="preserve">10.1145/3759023.3759118</t>
  </si>
  <si>
    <t xml:space="preserve">GBOA_SR-ShuffleNet: an explainable federated learning framework for privacy-preserving intrusion detection in IoT</t>
  </si>
  <si>
    <t xml:space="preserve">Jacob S.L.; Sultana H.P.</t>
  </si>
  <si>
    <t xml:space="preserve">Scientific Reports</t>
  </si>
  <si>
    <t xml:space="preserve">10.1038/s41598-026-56215-z</t>
  </si>
  <si>
    <t xml:space="preserve">EX-DFL: An Explainable Deep Federated-based Intrusion Detection System for Industrial IoT</t>
  </si>
  <si>
    <t xml:space="preserve">Attique D.; Wang H.; Wang P.; Javeed D.; Adil M.</t>
  </si>
  <si>
    <t xml:space="preserve">Proceedings - 21st International Joint Conference on Computer Science and Software Engineering, JCSSE 2024</t>
  </si>
  <si>
    <t xml:space="preserve">10.1109/JCSSE61278.2024.10613665</t>
  </si>
  <si>
    <t xml:space="preserve">Hybrid Ai and Cryptographic Approaches for Secure and Explainable IoT-Based Cyber-Physical Systems</t>
  </si>
  <si>
    <t xml:space="preserve">Chaturbhuj S.; Meshram V.S.; Mankar J.B.; Yadav S.; Modani D.G.; Panadiwal H.</t>
  </si>
  <si>
    <t xml:space="preserve">6th International Conference on Recent Trends in Computer Science and Technology, ICRTCST 2026 - Proceedings</t>
  </si>
  <si>
    <t xml:space="preserve">10.1109/ICRTCST68392.2026.11545233</t>
  </si>
  <si>
    <t xml:space="preserve">Cybersecurity Fortification in Edge Computing through the Synergy of Deep Learning</t>
  </si>
  <si>
    <t xml:space="preserve">Karyemsetty N.; Narasimha P.B.; Tejaswi M.P.; Sivaji V.N.; Kamal C.L.V.; Samatha B.</t>
  </si>
  <si>
    <t xml:space="preserve">7th International Conference on I-SMAC (IoT in Social, Mobile, Analytics and Cloud), I-SMAC 2023 - Proceedings</t>
  </si>
  <si>
    <t xml:space="preserve">10.1109/I-SMAC58438.2023.10290400</t>
  </si>
  <si>
    <t xml:space="preserve">Machine Learning Techniques for Real-Time Anomaly Detection in Network Traffic</t>
  </si>
  <si>
    <t xml:space="preserve">Chhillar K.; Kushwaha M.; Saxena A.; Singh S.</t>
  </si>
  <si>
    <t xml:space="preserve">2025 IEEE 7th International Conference on Computing, Communication and Automation, ICCCA 2025</t>
  </si>
  <si>
    <t xml:space="preserve">10.1109/ICCCA66364.2025.11325729</t>
  </si>
  <si>
    <t xml:space="preserve">Explanation stability assessment for federated explainable intrusion detection in wireless sensor networks</t>
  </si>
  <si>
    <t xml:space="preserve">A. H.S.; P. D.</t>
  </si>
  <si>
    <t xml:space="preserve">Array</t>
  </si>
  <si>
    <t xml:space="preserve">10.1016/j.array.2026.101114</t>
  </si>
  <si>
    <t xml:space="preserve">Yes</t>
  </si>
  <si>
    <t xml:space="preserve">Graph–Time IoT IDS: Requirement-Aligned Impact Evaluation</t>
  </si>
  <si>
    <t xml:space="preserve">Dubey K.; Batra I.; Bajpai A.; Malik A.; Alshara M.A.; Jan T.; Ahmad N.; Khalil R.A.</t>
  </si>
  <si>
    <t xml:space="preserve">Engineering Reports</t>
  </si>
  <si>
    <t xml:space="preserve">10.1002/eng2.70975</t>
  </si>
  <si>
    <t xml:space="preserve">AI-Driven Defense-in-Depth: A Systematic Review of SOC Maturity Models and DDoS Mitigation</t>
  </si>
  <si>
    <t xml:space="preserve">Antoniou G.</t>
  </si>
  <si>
    <t xml:space="preserve">CEUR Workshop Proceedings</t>
  </si>
  <si>
    <t xml:space="preserve">XFedGraph-Hunter: An Interpretable Federated Learning Framework for Hunting Advanced Persistent Threat in Provenance Graph</t>
  </si>
  <si>
    <t xml:space="preserve">Son N.D.H.; Thi H.T.; Duy P.T.; Pham V.-H.</t>
  </si>
  <si>
    <t xml:space="preserve">Lecture Notes in Computer Science</t>
  </si>
  <si>
    <t xml:space="preserve">10.1007/978-981-99-7032-2_32</t>
  </si>
  <si>
    <t xml:space="preserve">GeoForensic-AI: A Lightweight and Explainable Forensic AI Framework for Modern Digital Ecosystems</t>
  </si>
  <si>
    <t xml:space="preserve">Manivannan A.; Amalanathan A.</t>
  </si>
  <si>
    <t xml:space="preserve">10.1109/ACCESS.2026.3686828</t>
  </si>
  <si>
    <t xml:space="preserve">E2</t>
  </si>
  <si>
    <t xml:space="preserve">Digital forensics framework, not an intrusion detector</t>
  </si>
  <si>
    <t xml:space="preserve">A semi-supervised soft prototype-based autonomous fuzzy ensemble system for network intrusion detection</t>
  </si>
  <si>
    <t xml:space="preserve">Gu X.; Howells G.; Yuan H.</t>
  </si>
  <si>
    <t xml:space="preserve">Applied Soft Computing</t>
  </si>
  <si>
    <t xml:space="preserve">10.1016/j.asoc.2025.112719</t>
  </si>
  <si>
    <t xml:space="preserve">E3</t>
  </si>
  <si>
    <t xml:space="preserve">Federated learning or differential privacy not part of the method</t>
  </si>
  <si>
    <t xml:space="preserve">Real-Time Cyber Threat Intelligence Detection and Response Using Deep Learning for Advanced Threat Classification</t>
  </si>
  <si>
    <t xml:space="preserve">Sriram Muganthan G.; Srivignesh L.; Rajashree S.; Miriam A.J.; Muneera M.N.; Santhanakrishnan</t>
  </si>
  <si>
    <t xml:space="preserve">2026 IEEE 3rd International Conference on Emerging Trends in Engineering and Medical Sciences, ICETEMS 2025</t>
  </si>
  <si>
    <t xml:space="preserve">10.1109/ICETEMS66917.2026.11469514</t>
  </si>
  <si>
    <t xml:space="preserve">FedDTKG: Federated Temporal Graph Learning with Adaptive Loss for Robust 5G Attack Detection under Extreme Class Imbalance</t>
  </si>
  <si>
    <t xml:space="preserve">Sheikhi S.; Loven L.; Pirttikangas S.; Kostakos P.</t>
  </si>
  <si>
    <t xml:space="preserve">MSWiM 2025 - 27th International Conference on Modeling, Analysis and Simulation of Wireless and Mobile Systems</t>
  </si>
  <si>
    <t xml:space="preserve">10.1109/MSWiM67937.2025.11308990</t>
  </si>
  <si>
    <t xml:space="preserve">Explainable Federated Learning for Botnet Detection in IoT Networks</t>
  </si>
  <si>
    <t xml:space="preserve">Kalakoti R.; Bahsi H.; Nomm S.</t>
  </si>
  <si>
    <t xml:space="preserve">Proceedings of the 2024 IEEE International Conference on Cyber Security and Resilience, CSR 2024</t>
  </si>
  <si>
    <t xml:space="preserve">10.1109/CSR61664.2024.10679348</t>
  </si>
  <si>
    <t xml:space="preserve">Evaluation of Applying Federated Learning to Distributed Intrusion Detection Systems Through Explainable AI</t>
  </si>
  <si>
    <t xml:space="preserve">Oki A.; Ogawa Y.; Ota K.; Dong M.</t>
  </si>
  <si>
    <t xml:space="preserve">IEEE Networking Letters</t>
  </si>
  <si>
    <t xml:space="preserve">10.1109/LNET.2024.3465516</t>
  </si>
  <si>
    <r>
      <rPr>
        <sz val="10"/>
        <rFont val="Arial"/>
        <family val="0"/>
        <charset val="1"/>
      </rPr>
      <t xml:space="preserve">Generative AI–Guided Sentinel for Self-Optimizing Federated Cybersecurity and Intelligent Threat Detection; [</t>
    </r>
    <r>
      <rPr>
        <sz val="10"/>
        <rFont val="Noto Sans CJK SC"/>
        <family val="2"/>
      </rPr>
      <t xml:space="preserve">生成式人工智能引导的哨兵系统，用于自我优化的联邦网络安全与智能威胁检测</t>
    </r>
    <r>
      <rPr>
        <sz val="10"/>
        <rFont val="Arial"/>
        <family val="0"/>
        <charset val="1"/>
      </rPr>
      <t xml:space="preserve">]</t>
    </r>
  </si>
  <si>
    <t xml:space="preserve">Rokaya A.; Rishat M.A.S.A.; Sudhanshu S.; Singh A.; Naizheng B.</t>
  </si>
  <si>
    <t xml:space="preserve">Hunan Daxue Xuebao/Journal of Hunan University Natural Sciences</t>
  </si>
  <si>
    <t xml:space="preserve">10.55463/ISSN.1674-2974.52.12.1</t>
  </si>
  <si>
    <t xml:space="preserve">Interpretable Federated Learning Model for Cyber Intrusion Detection in Smart Cities with Privacy-Preserving Feature Selection</t>
  </si>
  <si>
    <t xml:space="preserve">Farooq M.S.; Saleem M.; Khan M.A.; Khan M.F.; Siddiqui S.Y.; Aslam M.S.; Adnan K.M.</t>
  </si>
  <si>
    <t xml:space="preserve">Computers, Materials and Continua</t>
  </si>
  <si>
    <t xml:space="preserve">10.32604/cmc.2025.069641</t>
  </si>
  <si>
    <t xml:space="preserve">AI-Powered Defense Against Advanced Persistent Threats (APTs): Techniques, Case Studies, and Future Research Directions</t>
  </si>
  <si>
    <t xml:space="preserve">Prajwalasimha S.N.; Shelke N.; Saini D.K.J.B.; Pimpalkar A.; Kumar G.H.; Shivamma D.</t>
  </si>
  <si>
    <t xml:space="preserve">Proceedings of 3rd International Conference on Sustainable Computing and Data Communication Systems, ICSCDS 2025</t>
  </si>
  <si>
    <t xml:space="preserve">10.1109/ICSCDS65426.2025.11166697</t>
  </si>
  <si>
    <t xml:space="preserve">E4</t>
  </si>
  <si>
    <t xml:space="preserve">No experimental evaluation reported in the abstract</t>
  </si>
  <si>
    <t xml:space="preserve">Intrusion Detection Explainability by Ensemble Learning with a Case Study</t>
  </si>
  <si>
    <t xml:space="preserve">Manai E.; Mejri M.; Fattahi J.</t>
  </si>
  <si>
    <t xml:space="preserve">10th 2024 International Conference on Control, Decision and Information Technologies, CoDIT 2024</t>
  </si>
  <si>
    <t xml:space="preserve">10.1109/CoDIT62066.2024.10708602</t>
  </si>
  <si>
    <t xml:space="preserve">LLM-Driven Security and Resilience in 6G Mission-Critical Communication Networks</t>
  </si>
  <si>
    <t xml:space="preserve">Sai S.; Arora B.; Suri V.; Chamola V.; Gurusamy M.</t>
  </si>
  <si>
    <t xml:space="preserve">IEEE Open Journal of the Communications Society</t>
  </si>
  <si>
    <t xml:space="preserve">10.1109/OJCOMS.2026.3717648</t>
  </si>
  <si>
    <t xml:space="preserve">Ai-Driven Cybersecurity Defense for Military Networks</t>
  </si>
  <si>
    <t xml:space="preserve">Bose S.S.C.; Shanmugapriya V.; Mahadev N.; Pyingkodi M.; Natarajan R.; Thangarasu N.</t>
  </si>
  <si>
    <t xml:space="preserve">Proceedings of IEEE International Conference for Women in Innovation, Technology and Entrepreneurship, ICWITE 2025</t>
  </si>
  <si>
    <t xml:space="preserve">10.1109/ICWITE64848.2025.11307120</t>
  </si>
  <si>
    <t xml:space="preserve">Unified Framework for Outlier Detection Using Ensemble-Based Learning Techniques</t>
  </si>
  <si>
    <t xml:space="preserve">Dahiya R.; Dahiya V.K.; Agarwal N.; Jain H.; Kumar A.P.; Kumar Singh A.</t>
  </si>
  <si>
    <t xml:space="preserve">2025 2nd International Conference on Computational Intelligence, Communication Technology and Networking, CICTN 2025</t>
  </si>
  <si>
    <t xml:space="preserve">10.1109/CICTN64563.2025.10932383</t>
  </si>
  <si>
    <t xml:space="preserve">FL-TSA-TabNet: Federated Tabular Network for Intrusion Detection</t>
  </si>
  <si>
    <t xml:space="preserve">Archana J.; Kamalakkannan S.</t>
  </si>
  <si>
    <t xml:space="preserve">Proceedings of the 4th International Conference on Innovative Mechanisms for Industry Applications, ICIMIA 2025</t>
  </si>
  <si>
    <t xml:space="preserve">10.1109/ICIMIA67127.2025.11200893</t>
  </si>
  <si>
    <t xml:space="preserve">A Comprehensive Review on Machine Learning Approaches for Zero-Day Attack Detection</t>
  </si>
  <si>
    <t xml:space="preserve">Ahmed Z.; Jayakesh G.; Azeem S.</t>
  </si>
  <si>
    <t xml:space="preserve">International Conference on Innovations in Communication, Geoscience and Robotics, ICICGR 2026</t>
  </si>
  <si>
    <t xml:space="preserve">10.1109/ICICGR68236.2026.11600199</t>
  </si>
  <si>
    <t xml:space="preserve">Federated Learning-Based Intrusion Detection for Resource-Constrained IoT Devices Using Lightweight Neural Networks</t>
  </si>
  <si>
    <t xml:space="preserve">Saxena N.; Verma S.; Shubneet; Rella B.P.R.; Yadav A.R.; Talwandi N.S.</t>
  </si>
  <si>
    <t xml:space="preserve">Lecture Notes in Networks and Systems</t>
  </si>
  <si>
    <t xml:space="preserve">10.1007/978-3-032-25617-1_11</t>
  </si>
  <si>
    <t xml:space="preserve">DESIGN OF AN IMPROVED METHOD FOR INTRUSION DETECTION USING CNN, LSTM, AND BLOCK CHAIN</t>
  </si>
  <si>
    <t xml:space="preserve">Jyothi D.; Vijay P.J.; Kumar M.K.; Lakshmi R.V.</t>
  </si>
  <si>
    <t xml:space="preserve">Journal of Theoretical and Applied Information Technology</t>
  </si>
  <si>
    <t xml:space="preserve">A comprehensive survey on intrusion detection in internet of medical things: Datasets, federated learning, blockchain, and future research directions</t>
  </si>
  <si>
    <t xml:space="preserve">Hassan S.R.; Tanveer M.U.; Prajapat S.; Shabaz M.</t>
  </si>
  <si>
    <t xml:space="preserve">ICT Express</t>
  </si>
  <si>
    <t xml:space="preserve">10.1016/j.icte.2025.11.005</t>
  </si>
  <si>
    <t xml:space="preserve">Federated Forest for Network Anomaly Detection</t>
  </si>
  <si>
    <t xml:space="preserve">Donfack F.; Toutsop O.; Yimer T.M.</t>
  </si>
  <si>
    <t xml:space="preserve">2025 International Symposium on Networks, Computers and Communications, ISNCC 2025</t>
  </si>
  <si>
    <t xml:space="preserve">10.1109/ISNCC66965.2025.11250410</t>
  </si>
  <si>
    <t xml:space="preserve">A Survey on IoT Intrusion Detection: Federated Learning, Game Theory, Social Psychology, and Explainable AI as Future Directions</t>
  </si>
  <si>
    <t xml:space="preserve">Arisdakessian S.; Wahab O.A.; Mourad A.; Otrok H.; Guizani M.</t>
  </si>
  <si>
    <t xml:space="preserve">IEEE Internet of Things Journal</t>
  </si>
  <si>
    <t xml:space="preserve">10.1109/JIOT.2022.3203249</t>
  </si>
  <si>
    <t xml:space="preserve">FedMamba-IoMT: Federated state space models with differential privacy and byzantine resilience for privacy-preserving intrusion detection in Internet of Medical Things</t>
  </si>
  <si>
    <t xml:space="preserve">Al-Sharo Y.M.; Tawfik M.; Almadani A.M.; Abdelhaliem A.H.; Fathi I.S.; Hassan G.</t>
  </si>
  <si>
    <t xml:space="preserve">PLOS One</t>
  </si>
  <si>
    <t xml:space="preserve">10.1371/journal.pone.0355601</t>
  </si>
  <si>
    <t xml:space="preserve">IoT Privacy-Preserving Intrusion Detection with Federated Learning and Deep Learning Models</t>
  </si>
  <si>
    <t xml:space="preserve">Dubey E.N.; Lodhi R.K.; Tiwari R.K.</t>
  </si>
  <si>
    <t xml:space="preserve">2026 2nd International Conference on Cognitive Computing in Engineering, Communications, Sciences and Biomedical Health Informatics, IC3ECSBHI 2026</t>
  </si>
  <si>
    <t xml:space="preserve">10.1109/IC3ECSBHI67834.2026.11469060</t>
  </si>
  <si>
    <t xml:space="preserve">Federated Learning Based Explainable Hybrid Framework for Cyber Threat Analysis</t>
  </si>
  <si>
    <t xml:space="preserve">Kavitha R.; Rupa M.S.; Gayathri R.</t>
  </si>
  <si>
    <t xml:space="preserve">10.1109/ICCCA66364.2025.11325560</t>
  </si>
  <si>
    <t xml:space="preserve">Privacy-preserving intrusion detection in IoT smart homes using a federated hybrid 1D-CNN–LSTM model with explainable AI</t>
  </si>
  <si>
    <t xml:space="preserve">Abdelhady G.; Hussein K.W.; Gad I.A.A.</t>
  </si>
  <si>
    <t xml:space="preserve">10.1038/s41598-026-67450-9</t>
  </si>
  <si>
    <t xml:space="preserve">Federated Adversarial-AI for Zero-Trust Explainable Cybersecurity</t>
  </si>
  <si>
    <t xml:space="preserve">Chandrakala S.; Chandrakala S.S.</t>
  </si>
  <si>
    <t xml:space="preserve">Proceedings of 8th International Conference on Intelligent Sustainable Systems, ICISS 2026</t>
  </si>
  <si>
    <t xml:space="preserve">10.1109/ICISS67859.2026.11453954</t>
  </si>
  <si>
    <t xml:space="preserve">Secure and Interpretable Intrusion Detection through Federated and Ensemble Machine Learning with XAI</t>
  </si>
  <si>
    <t xml:space="preserve">Javed S.; Mukhtar N.; Iqbal S.; Naqvi S.A.A.; Ishtiaq A.; Siddiqui S.Y.; Ammar M.</t>
  </si>
  <si>
    <t xml:space="preserve">Journal of Computing and Biomedical Informatics</t>
  </si>
  <si>
    <t xml:space="preserve">Intelligent Cybersecurity for the Internet of Things: An AI-Based Adaptive Model and Landscape Analysis — A Systematic Literature Review</t>
  </si>
  <si>
    <t xml:space="preserve">Prasad H.; Kumar S.; Paul P.</t>
  </si>
  <si>
    <t xml:space="preserve">Journal of Intelligent Decision Making and Information Science</t>
  </si>
  <si>
    <t xml:space="preserve">10.59543/jidmis.v3.1931</t>
  </si>
  <si>
    <t xml:space="preserve">Federated temporal-aware lightweight intrusion detection system for CAN-based in-vehicle networks: A hybrid deep learning and privacy-preserving framework</t>
  </si>
  <si>
    <t xml:space="preserve">Alqahtani H.; Kumar G.</t>
  </si>
  <si>
    <t xml:space="preserve">Multimedia Tools and Applications</t>
  </si>
  <si>
    <t xml:space="preserve">10.1007/s11042-026-21937-9</t>
  </si>
  <si>
    <t xml:space="preserve">Adversarial-Resilient Federated AI for Explainable Zero-Trust Cybersecurity</t>
  </si>
  <si>
    <t xml:space="preserve">Chandrakala S.; Suresh S.</t>
  </si>
  <si>
    <t xml:space="preserve">2026 8th International Conference on Inventive Material Science and Applications, ICIMA 2026</t>
  </si>
  <si>
    <t xml:space="preserve">10.1109/ICIMA68728.2026.11564325</t>
  </si>
  <si>
    <t xml:space="preserve">FORT-IDS: a federated, optimized, robust and trustworthy intrusion detection system for IIoT security</t>
  </si>
  <si>
    <t xml:space="preserve">Mazroa A.A.</t>
  </si>
  <si>
    <t xml:space="preserve">10.1038/s41598-025-31025-x</t>
  </si>
  <si>
    <t xml:space="preserve">An enhanced hybrid intrusion detection framework using federated learning and explainable AI for cloud-based cybersecurity systems</t>
  </si>
  <si>
    <t xml:space="preserve">Okul Ş.; Sadak M.S.</t>
  </si>
  <si>
    <t xml:space="preserve">Journal of Computer Virology and Hacking Techniques</t>
  </si>
  <si>
    <t xml:space="preserve">10.1007/s11416-026-00643-y</t>
  </si>
  <si>
    <t xml:space="preserve">Machine Learning-Driven Intrusion Detection for Next-Generation Information Security Systems</t>
  </si>
  <si>
    <t xml:space="preserve">Porwal R.; Adhikari M.S.; Keerthi S.; Yadav A.K.; Ketha M.B.; Verma P.; Kunal</t>
  </si>
  <si>
    <t xml:space="preserve">International Research Journal of Multidisciplinary Technovation</t>
  </si>
  <si>
    <t xml:space="preserve">10.54392/irjmt26317</t>
  </si>
  <si>
    <t xml:space="preserve">Synthetic Data-Driven Explainability for Federated Learning-Based Intrusion Detection System</t>
  </si>
  <si>
    <t xml:space="preserve">Kalakoti R.; Bahsi H.; Nõmm S.</t>
  </si>
  <si>
    <t xml:space="preserve">10.1109/JIOT.2025.3633946</t>
  </si>
  <si>
    <t xml:space="preserve">Enhancing intrusion detection performance using explainable ensemble deep learning</t>
  </si>
  <si>
    <t xml:space="preserve">Ben Ncir C.E.; Ben HajKacem M.A.; Alattas M.</t>
  </si>
  <si>
    <t xml:space="preserve">PeerJ Computer Science</t>
  </si>
  <si>
    <t xml:space="preserve">10.7717/PEERJ-CS.2289</t>
  </si>
  <si>
    <t xml:space="preserve">A Privacy-Preserving Federated Hybrid Intrusion Detection System for MQTT-Based IoT Networks Using SHAP-Mutual Information Feature Selection</t>
  </si>
  <si>
    <t xml:space="preserve">Suryadev V.; Kirubavathi G.</t>
  </si>
  <si>
    <t xml:space="preserve">CCIC 2026 - Contemporary Computing Innovations Conference 2026</t>
  </si>
  <si>
    <t xml:space="preserve">10.1109/CCIC68129.2026.11486056</t>
  </si>
  <si>
    <t xml:space="preserve">CognitiveShield-IoT: A Self-Evolving AI-Agent Driven Security Architecture for Adaptive and Resilient IoT Ecosystems</t>
  </si>
  <si>
    <t xml:space="preserve">Vishwas D.B.; Bharath M.B.; Trisha V.; Sahana S.; Dinesh K.; Reddy M.S.</t>
  </si>
  <si>
    <t xml:space="preserve">Proceedings of 9th International Conference on Trends in Electronics and Informatics, ICOEI 2026</t>
  </si>
  <si>
    <t xml:space="preserve">10.1109/ICOEI68323.2026.11541866</t>
  </si>
  <si>
    <t xml:space="preserve">Federated XAI IDS: An Explainable and Safeguarding Privacy Approach to Detect Intrusion Combining Federated Learning and SHAP †</t>
  </si>
  <si>
    <t xml:space="preserve">Fatema K.; Dey S.K.; Anannya M.; Khan R.T.; Rashid M.M.; Su C.; Mazumder R.</t>
  </si>
  <si>
    <t xml:space="preserve">Future Internet</t>
  </si>
  <si>
    <t xml:space="preserve">10.3390/fi17060234</t>
  </si>
  <si>
    <t xml:space="preserve">FedSentry: Federated Learning Enhanced by DBSCAN for Intelligent Intrusion Detection</t>
  </si>
  <si>
    <t xml:space="preserve">Dharani M.</t>
  </si>
  <si>
    <t xml:space="preserve">2025 17th IEEE International Conference on Computational Intelligence and Communication Networks, CICN 2025</t>
  </si>
  <si>
    <t xml:space="preserve">10.1109/CICN67655.2025.11368277</t>
  </si>
  <si>
    <t xml:space="preserve">A Systematic Review of Intrusion Detection Systems for Internet of Medical Things: Performance, Efficiency, Explainability, and Generalization</t>
  </si>
  <si>
    <t xml:space="preserve">Adohinzin O.; Harrath Y.</t>
  </si>
  <si>
    <t xml:space="preserve">Digital Threats: Research and Practice</t>
  </si>
  <si>
    <t xml:space="preserve">10.1145/3816026</t>
  </si>
  <si>
    <t xml:space="preserve">FEX-IDS: A Federated Learning-Based Explainable Intrusion Detection System for IoT Security</t>
  </si>
  <si>
    <t xml:space="preserve">Metwally M.; Zamzam M.</t>
  </si>
  <si>
    <t xml:space="preserve">2025 5th International Conference on Innovative Research in Applied Science, Engineering and Technology, IRASET 2025</t>
  </si>
  <si>
    <t xml:space="preserve">10.1109/IRASET64571.2025.11008310</t>
  </si>
  <si>
    <t xml:space="preserve">Mobility-Aware Hybrid Federated and V2V Cooperative Learning for Intrusion Detection in 5G-V2X Networks</t>
  </si>
  <si>
    <t xml:space="preserve">Abdel Hakeem S.A.; Kim H.</t>
  </si>
  <si>
    <t xml:space="preserve">10.1109/JIOT.2026.3695859</t>
  </si>
  <si>
    <t xml:space="preserve">Explainable AI supported hybrid deep learnig method for layer 2 intrusion detection</t>
  </si>
  <si>
    <t xml:space="preserve">Kilincer I.F.</t>
  </si>
  <si>
    <t xml:space="preserve">Egyptian Informatics Journal</t>
  </si>
  <si>
    <t xml:space="preserve">10.1016/j.eij.2025.100669</t>
  </si>
  <si>
    <t xml:space="preserve">Federated Learning for Distributed IoT Security: A Privacy-Preserving Approach to Intrusion Detection</t>
  </si>
  <si>
    <t xml:space="preserve">Gutti C.; Thumula K.; Balbudhe P.</t>
  </si>
  <si>
    <t xml:space="preserve">10.1109/ACCESS.2025.3592481</t>
  </si>
  <si>
    <t xml:space="preserve">Implementation of an Optimized Hybrid Machine Learning-Based IDS for Enhanced Threat Detection in IoT Environments</t>
  </si>
  <si>
    <t xml:space="preserve">Chopparapu R.; Yangalasetty S.; Deshpande G.; Roy V.</t>
  </si>
  <si>
    <t xml:space="preserve">2025 IEEE 5th International Conference on ICT in Business Industry and Government, ICTBIG 2025</t>
  </si>
  <si>
    <t xml:space="preserve">10.1109/ICTBIG68706.2025.11323664</t>
  </si>
  <si>
    <t xml:space="preserve">Adversarial Challenges in AI-based Intrusion Detection Systems for Cloud Environments: A Comprehensive Review</t>
  </si>
  <si>
    <t xml:space="preserve">Velliyath S.; Kalaivani D.</t>
  </si>
  <si>
    <t xml:space="preserve">Proceedings of 5th International Conference on Evolutionary Computing and Mobile Sustainable Networks, ICECMSN 2025</t>
  </si>
  <si>
    <t xml:space="preserve">10.1109/ICECMSN68058.2025.11382855</t>
  </si>
  <si>
    <t xml:space="preserve">FedT-DDoS: A Robust and Privacy-Preserving DDoS Detection System for SDIoT Healthcare Environments</t>
  </si>
  <si>
    <t xml:space="preserve">Madoune S.A.; De Jiang D.; Senouci S.; Madoune Y.</t>
  </si>
  <si>
    <t xml:space="preserve">Proceedings of the IEEE International Conference on Computer and Communications, ICCC</t>
  </si>
  <si>
    <t xml:space="preserve">10.1109/ICCC68654.2025.11437953</t>
  </si>
  <si>
    <t xml:space="preserve">Privacy-Preserving Graph-Based Intrusion Detection System: A Federated Learning Approach with GNN and XAI</t>
  </si>
  <si>
    <t xml:space="preserve">Venkateswarlu M.; Karthik C.H.; Shivamani M.; Narayana Rao A.S.</t>
  </si>
  <si>
    <t xml:space="preserve">Proceedings of the 9th International Conference on Inventive Systems and Control, ICISC 2025</t>
  </si>
  <si>
    <t xml:space="preserve">10.1109/ICISC65841.2025.11188133</t>
  </si>
  <si>
    <t xml:space="preserve">Big Data-Driven Federated Learning Model for Scalable and Privacy-Preserving Cyber Threat Detection in IoT-Enabled Healthcare Systems</t>
  </si>
  <si>
    <t xml:space="preserve">Alaskar N.M.; Hussain M.; Almheiri S.J.; Atta-Ur-Rahman; Khan A.; Adnan K.M.</t>
  </si>
  <si>
    <t xml:space="preserve">10.32604/cmc.2025.074041</t>
  </si>
  <si>
    <t xml:space="preserve">A novel federated learning approach for IoT botnet intrusion detection using SHAP-based knowledge distillation</t>
  </si>
  <si>
    <t xml:space="preserve">Hossain M.A.; Saif S.; Islam M.S.</t>
  </si>
  <si>
    <t xml:space="preserve">Complex and Intelligent Systems</t>
  </si>
  <si>
    <t xml:space="preserve">10.1007/s40747-025-02001-9</t>
  </si>
  <si>
    <t xml:space="preserve">A Comprehensive Review of Attacks and Defense Mechanisms in Federated Learning for Autonomous Driving and VANETs</t>
  </si>
  <si>
    <t xml:space="preserve">Kumbhare R.; Dehalwar V.; Pateriya R.K.</t>
  </si>
  <si>
    <t xml:space="preserve">Proceedings of the 2026 4th International Conference on Secure Cyber Computing and Communications, ICSCCC 2026</t>
  </si>
  <si>
    <t xml:space="preserve">10.1109/ICSCCC69031.2026.11600221</t>
  </si>
  <si>
    <t xml:space="preserve">SURYA: Quantum-Resilient Explainable Federated Learning for UAV Intrusion Detection over 6G Networks</t>
  </si>
  <si>
    <t xml:space="preserve">Patel A.A.; Tank D.R.; Patel D.; Shah K.; Shah M.H.; Kumari A.; Chaturvedi P.; Bishnoi D.; Kaushik A.</t>
  </si>
  <si>
    <t xml:space="preserve">IEEE Globecom Workshops, GC Wkshps</t>
  </si>
  <si>
    <t xml:space="preserve">10.1109/GCWkshps68340.2025.11590989</t>
  </si>
  <si>
    <t xml:space="preserve">An Explainable Federated Intrusion Detection Framework for SDN Using Distributed Key Generation and Threshold Homomorphic Encryption</t>
  </si>
  <si>
    <t xml:space="preserve">Shamim S.M.; Kodera Y.; Ali M.A.; Nogami Y.</t>
  </si>
  <si>
    <t xml:space="preserve">Sensors</t>
  </si>
  <si>
    <t xml:space="preserve">10.3390/s26175337</t>
  </si>
  <si>
    <t xml:space="preserve">AI-Driven Cyber Resilience Framework for Cloud Environments: Advanced Intrusion Detection and Threat Prevention</t>
  </si>
  <si>
    <t xml:space="preserve">Krishna J.; Harshitha S.; Kamalesh G.; Kumar B.K.; Sree T.A.; Haran J.H.</t>
  </si>
  <si>
    <t xml:space="preserve">ICCECE 2026 - International Conference on Computing, Electronics and Communications Engineering</t>
  </si>
  <si>
    <t xml:space="preserve">10.1109/ICCECE69715.2026.11493037</t>
  </si>
  <si>
    <t xml:space="preserve">Blockchain and Explainable Federated Learning-based V2X Communication Framework for ITS in 6G</t>
  </si>
  <si>
    <t xml:space="preserve">Patel C.; Sheth P.; Shah M.; Mehta D.; Kumari A.; Gupta R.; Tanwar S.; Jhanjhi N.Z.</t>
  </si>
  <si>
    <t xml:space="preserve">2025 International Conference on Green Energy, Computing and Sustainable Technology, GECOST 2025</t>
  </si>
  <si>
    <t xml:space="preserve">10.1109/GECOST66002.2025.11324682</t>
  </si>
  <si>
    <t xml:space="preserve">Federated Big Data-Driven Hybrid Deep Learning Framework with Self-Enhanced Optimization for Intelligent Cyber Attack Detection</t>
  </si>
  <si>
    <t xml:space="preserve">Babu D.R.K.; Reddy V.M.M.; Yamini S.; Sasank S.R.G.</t>
  </si>
  <si>
    <t xml:space="preserve">International Conference on NexGen Networks and Cybernetics, IC2NC 2025 - Proceedings</t>
  </si>
  <si>
    <t xml:space="preserve">10.1109/IC2NC67409.2025.11376171</t>
  </si>
  <si>
    <t xml:space="preserve">NeSySwarm-IDS: End-to-End Differentiable Neuro-Symbolic Logic for Privacy-Preserving Intrusion Detection in UAV Swarms</t>
  </si>
  <si>
    <t xml:space="preserve">Yang G.; Ni L.; Xia T.; Shi Q.; Li J.</t>
  </si>
  <si>
    <t xml:space="preserve">Applied Sciences (Switzerland)</t>
  </si>
  <si>
    <t xml:space="preserve">10.3390/app16073204</t>
  </si>
  <si>
    <t xml:space="preserve">Federated Drift-Aware CNN-BiLSTM Framework for Secure and Transparent Wireless Sensor Networks</t>
  </si>
  <si>
    <t xml:space="preserve">Hemalatha V.; Pushpalatha S.</t>
  </si>
  <si>
    <t xml:space="preserve">International Conference on AI-Driven Innovations and Applications, IC-AIDA 2026 - Conference Proceedings</t>
  </si>
  <si>
    <t xml:space="preserve">10.1109/IC-AIDA68291.2026.11564238</t>
  </si>
  <si>
    <t xml:space="preserve">RE-FIDS: Robust and Explainable Federated Learning-based Intrusion Detection System</t>
  </si>
  <si>
    <t xml:space="preserve">Prajapati P.; Karambe A.; Kharab R.; Mane N.; Singh P.; Dhavale S.</t>
  </si>
  <si>
    <t xml:space="preserve">Proceedings of the 6th International Conference on Pervasive Computing and Social Networking, ICPCSN 2026</t>
  </si>
  <si>
    <t xml:space="preserve">10.1109/ICPCSN68523.2026.11543558</t>
  </si>
  <si>
    <t xml:space="preserve">Intelligent Anomaly Detection for Secure Data Transmission in Cloud Computing Systems over 6G Networks</t>
  </si>
  <si>
    <t xml:space="preserve">Anshad A.S.; Charan P.; Preethi N.; Khan I.; Amruthalakshmi M.R.; Maurya S.; Hiremath S.; Anil D.</t>
  </si>
  <si>
    <t xml:space="preserve">Engineering, Technology and Applied Science Research</t>
  </si>
  <si>
    <t xml:space="preserve">10.48084/etasr.14022</t>
  </si>
  <si>
    <t xml:space="preserve">GAIA-FL-AGC: A Differential Privacy and Generative AI Approach to Robust Intrusion Detection in Federated Learning</t>
  </si>
  <si>
    <t xml:space="preserve">El Gendi N.; Zamzam M.</t>
  </si>
  <si>
    <t xml:space="preserve">2026 International Conference on Integrated Intelligence and Cognitive Engineering, ICIICE 2026</t>
  </si>
  <si>
    <t xml:space="preserve">10.1109/ICIICE69672.2026.11565072</t>
  </si>
  <si>
    <t xml:space="preserve">Fractional groupers brown-bear optimization based spiking channel attention-based convolutional recurrent neural network for intrusion detection in heterogeneous federated IoT networks</t>
  </si>
  <si>
    <t xml:space="preserve">Jacob S.L.; Parveen Sultana H.</t>
  </si>
  <si>
    <t xml:space="preserve">10.1016/j.array.2026.101005</t>
  </si>
  <si>
    <t xml:space="preserve">T9-FL: An Adaptive XAI-driven Federated Learning Framework for Privacy-preserving Intrusion Detection in Non-IID Edge IoT Networks</t>
  </si>
  <si>
    <t xml:space="preserve">Jassim E.K.</t>
  </si>
  <si>
    <t xml:space="preserve">International Journal of Intelligent Engineering and Systems</t>
  </si>
  <si>
    <t xml:space="preserve">10.22266/ijies2026.0630.42</t>
  </si>
  <si>
    <t xml:space="preserve">GAN-FedCNN for secure data sharing and anomaly detection in cyber-physical systems</t>
  </si>
  <si>
    <t xml:space="preserve">Hashmi H.; Kumar A.; Singh P.; Sisodia R.S.; Yadav R.</t>
  </si>
  <si>
    <t xml:space="preserve">Franklin Open</t>
  </si>
  <si>
    <t xml:space="preserve">10.1016/j.fraope.2026.100718</t>
  </si>
  <si>
    <t xml:space="preserve">Enhancing Cloud API Security Using Artificial Intelligence for Adaptive Threat Monitoring</t>
  </si>
  <si>
    <t xml:space="preserve">Keshava R.; Parikh M.; Jayabalan K.; Pandurangan S.K.; Govindaraj S.; Maruthi R.</t>
  </si>
  <si>
    <t xml:space="preserve">Proceedings of the 9th International Conference on I-SMAC (IoT in Social, Mobile, Analytics and Cloud), I-SMAC 2025</t>
  </si>
  <si>
    <t xml:space="preserve">10.1109/I-SMAC65734.2025.11597820</t>
  </si>
  <si>
    <t xml:space="preserve">A Secure Federated Cyber Security Model Using Distributed Artificial Intelligence For Healthcare Cloud And Iot Applications</t>
  </si>
  <si>
    <t xml:space="preserve">JalpaJadeja; Shwetha A.; Jeet S.; Verma A.K.; Yadav P.K.; Kulkarni S.S.; Ramesh Kumar V.; Gayathri B.</t>
  </si>
  <si>
    <t xml:space="preserve">International Journal of Artificial Intelligence and Machine Learning</t>
  </si>
  <si>
    <t xml:space="preserve">10.51483/IJAIML.6.4s.2026.608-618</t>
  </si>
  <si>
    <t xml:space="preserve">Towards Explainable Federated Intrusion Detection for IoT in Resource-Constrained Environments</t>
  </si>
  <si>
    <t xml:space="preserve">Stolz C.; Zhang J.</t>
  </si>
  <si>
    <t xml:space="preserve">2025 Cyber Awareness and Research Symposium, CARS 2025</t>
  </si>
  <si>
    <t xml:space="preserve">10.1109/CARS67163.2025.11337429</t>
  </si>
  <si>
    <t xml:space="preserve">Blockchain-anchored multi-discriminator GAN architecture for real-time zero-day attack detection in social IoT edge networks with explainable audit trails</t>
  </si>
  <si>
    <t xml:space="preserve">Kanawade S.; Deshpande N.; Gite S.; Dongre N.</t>
  </si>
  <si>
    <t xml:space="preserve">Discover Internet of Things</t>
  </si>
  <si>
    <t xml:space="preserve">10.1007/s43926-026-00486-5</t>
  </si>
  <si>
    <t xml:space="preserve">DEEP LEARNING-BASED INTRUSION DETECTION IN COMPUTER SYSTEMS AND NETWORKS: ADVANCES, HYBRIDS, AND CHALLENGES 2022–2026; [Системи виявлення вторгнень на основі глибокого навчання в комп'ютерних системах і мережах: нові підходи, гібриди та виклики 2022–2026]</t>
  </si>
  <si>
    <t xml:space="preserve">Chelak V.; Hornostal O.; Chelak Y.; Gavrylenko S.</t>
  </si>
  <si>
    <t xml:space="preserve">Advanced Information Systems</t>
  </si>
  <si>
    <t xml:space="preserve">10.20998/2522-9052.2026.3.09</t>
  </si>
  <si>
    <t xml:space="preserve">A Study on Research Trends in Machine Learning based WSN Security Monitoring</t>
  </si>
  <si>
    <t xml:space="preserve">Jangra R.; Sharma A.; Gopi A.; Bisht A.; Singh M.; Pandey P.</t>
  </si>
  <si>
    <t xml:space="preserve">Proceedings of the 2026 13th International Conference on Computing for Sustainable Global Development, INDIACom 2026</t>
  </si>
  <si>
    <t xml:space="preserve">10.23919/INDIACom70271.2026.11525863</t>
  </si>
  <si>
    <t xml:space="preserve">Empirical Bernstein Certified Bandit-KL Mixing with Tree Stacking for Explainable Federated Intrusion Detection</t>
  </si>
  <si>
    <t xml:space="preserve">Shibly M.Z.A.; Islam M.J.; Sakib M.M.R.; Al-Amain; Muyeba M.K.; Saraee M.</t>
  </si>
  <si>
    <t xml:space="preserve">2026 IEEE International Conference on Fuzzy Systems, FUZZ-IEEE 2026 - Conference Proceedings: Part of the 2026 IEEE World Congress on Computational Intelligence, IEEE WCCI 2026</t>
  </si>
  <si>
    <t xml:space="preserve">10.1109/FUZZ69877.2026.11626376</t>
  </si>
  <si>
    <t xml:space="preserve">Unraveling Network Attacks with Machine Learning and Explainable AI</t>
  </si>
  <si>
    <t xml:space="preserve">Deepak Kumar K.; Saravana Gokul G.; Anandhi S.; Senthil Pandi S.</t>
  </si>
  <si>
    <t xml:space="preserve">2nd IEEE International Conference on Advances in Information Technology, ICAIT 2024 - Proceedings</t>
  </si>
  <si>
    <t xml:space="preserve">10.1109/ICAIT61638.2024.10690557</t>
  </si>
  <si>
    <t xml:space="preserve">A federated and transfer learning framework for high-accuracy, explainable intrusion detection in next-generation data centers</t>
  </si>
  <si>
    <t xml:space="preserve">Marwan M.; Chemmakha M.; Ait Temghart A.; Lazaar M.</t>
  </si>
  <si>
    <t xml:space="preserve">10.1007/s44163-026-00955-4</t>
  </si>
  <si>
    <t xml:space="preserve">HLPMM–GRSPHTRU: An explainable cross-layer temporal framework for multi-stage attack detection in IoT-CPS</t>
  </si>
  <si>
    <t xml:space="preserve">Kumar M.; Panduranga Rao M.V.; Ganesan E.; Malode K.P.</t>
  </si>
  <si>
    <t xml:space="preserve">Review of Computer Engineering Research</t>
  </si>
  <si>
    <t xml:space="preserve">10.18488/76.v13i2.4927</t>
  </si>
  <si>
    <t xml:space="preserve">Autonomous federated defense for zero-day threats in IIoT: explainable agents with real-time edge inference</t>
  </si>
  <si>
    <t xml:space="preserve">Villegas-Ch W.; Gutierrez R.; Govea J.; Palacios P.</t>
  </si>
  <si>
    <t xml:space="preserve">Frontiers in Communications and Networks</t>
  </si>
  <si>
    <t xml:space="preserve">10.3389/frcmn.2025.1697204</t>
  </si>
  <si>
    <t xml:space="preserve">Cyberattack Detection in Smart Grids: A Survey of Machine Learning Approaches and Challenges</t>
  </si>
  <si>
    <t xml:space="preserve">Hasan M.S.; Ismail M.I.; Ibrahem M.I.; Fouda M.</t>
  </si>
  <si>
    <t xml:space="preserve">2026 Intermountain Engineering, Technology and Computing, IETC 2026</t>
  </si>
  <si>
    <t xml:space="preserve">10.1109/IETC69527.2026.11568643</t>
  </si>
  <si>
    <t xml:space="preserve">AI-Driven Intrusion Detection in Multi-Cloud Environments: A Proposed Algorithm and Implementation Framework</t>
  </si>
  <si>
    <t xml:space="preserve">Kavya M.; Kumar T.S.</t>
  </si>
  <si>
    <t xml:space="preserve">Proceedings of 4th International Conference on Self Sustainable Artificial Intelligence Systems, ICSSAS 2026</t>
  </si>
  <si>
    <t xml:space="preserve">10.1109/ICSSAS68835.2026.11559503</t>
  </si>
  <si>
    <t xml:space="preserve">Efficient and explainable intrusion detection for the internet of things using modified-LSTM and HTM-inspired sparse CNN with federated learning</t>
  </si>
  <si>
    <t xml:space="preserve">Saleh M.; Abdelaziz M.I.; Abdou M.A.</t>
  </si>
  <si>
    <t xml:space="preserve">International Journal of Computers and Applications</t>
  </si>
  <si>
    <t xml:space="preserve">10.1080/1206212X.2026.2731403</t>
  </si>
  <si>
    <t xml:space="preserve">Enhancing Security of Host-Based Intrusion Detection Systems for the Internet of Things</t>
  </si>
  <si>
    <t xml:space="preserve">Nallakaruppan M.K.; Somayaji S.R.K.; Fuladi S.; Benedetto F.; Ulaganathan S.K.; Yenduri G.</t>
  </si>
  <si>
    <t xml:space="preserve">10.1109/ACCESS.2024.3355794</t>
  </si>
  <si>
    <t xml:space="preserve">Empowering IoT with Large Language Models: A Survey of Applications, Challenges, and Future Directions</t>
  </si>
  <si>
    <t xml:space="preserve">Shahraeeni A.; Kaur R.; Kochari A.; Mohammadi F.; Asad A.</t>
  </si>
  <si>
    <t xml:space="preserve">Proceedings - 29th IEEE/ACIS International Conference on Software Engineering, Artificial Intelligence, Networking and Parallel/Distributed Computing, SNPD 2025-Summer</t>
  </si>
  <si>
    <t xml:space="preserve">10.1109/SNPD65828.2025.11252601</t>
  </si>
  <si>
    <t xml:space="preserve">A Comprehensive Review of Intrusion Detection Systems for Vehicular Ad Hoc Networks: Machine Learning, Deep Learning, and Emerging Challenges</t>
  </si>
  <si>
    <t xml:space="preserve">Fathima S.S.; Singla J.</t>
  </si>
  <si>
    <t xml:space="preserve">7th International Conference on Inventive Research in Computing Applications, ICIRCA 2026 - Proceedings</t>
  </si>
  <si>
    <t xml:space="preserve">10.1109/ICIRCA69024.2026.11570298</t>
  </si>
  <si>
    <t xml:space="preserve">Real-Time Cyber Threats and Unauthorized Access Detection Using Embedded AI</t>
  </si>
  <si>
    <t xml:space="preserve">Bhuktar D.M.; Ranjan R.; Singh S.K.; Bansod S.</t>
  </si>
  <si>
    <t xml:space="preserve">2025 International Conference on Computing Technologies and Data Communication, ICCTDC 2025</t>
  </si>
  <si>
    <t xml:space="preserve">10.1109/ICCTDC64446.2025.11158799</t>
  </si>
  <si>
    <t xml:space="preserve">Deep Learning for Web Application Security: A Comprehensive Survey on Intrusion Detection Systems</t>
  </si>
  <si>
    <t xml:space="preserve">Nitin V.; Aarti; Thatha V.N.</t>
  </si>
  <si>
    <t xml:space="preserve">2nd International Conference on Intelligent Systems for Cybersecurity, ISCS 2025</t>
  </si>
  <si>
    <t xml:space="preserve">10.1109/ISCS69371.2025.11386278</t>
  </si>
  <si>
    <t xml:space="preserve">Federated Learning-based Intelligent Intrusion Detection for Secure and Scalable IoT Systems: A Comprehensive Review and Future Directions</t>
  </si>
  <si>
    <t xml:space="preserve">Rajesh Kumar K.; Sankar S.M.U.; Philomina Jenifer A.; Rashmi P.</t>
  </si>
  <si>
    <t xml:space="preserve">10.1109/ICOEI68323.2026.11541647</t>
  </si>
  <si>
    <t xml:space="preserve">Understanding the Financial Mindset: An Empirical Analysis of Financial Literacy and Investment Behaviour among Working Women in Karnataka</t>
  </si>
  <si>
    <t xml:space="preserve">Jabed M.M.I.; Ankhi R.B.; Sarwar J.; Afrin S.; Gupta A.B.</t>
  </si>
  <si>
    <t xml:space="preserve">2026 International Conference on Sustainable Computing and Integrated Communication in Changing Landscape of Al, ICSCAI 2026</t>
  </si>
  <si>
    <t xml:space="preserve">10.1109/ICSCAI68849.2026.11649442</t>
  </si>
  <si>
    <t xml:space="preserve">AI-driven intrusion detection and mitigation framework for software-defined IoT networks</t>
  </si>
  <si>
    <t xml:space="preserve">Alotaibi J.</t>
  </si>
  <si>
    <t xml:space="preserve">Peer-to-Peer Networking and Applications</t>
  </si>
  <si>
    <t xml:space="preserve">10.1007/s12083-025-02151-0</t>
  </si>
  <si>
    <t xml:space="preserve">Securing Critical Infrastructure Networks Using Blockchain-Assisted Artificial Intelligence: A Survey</t>
  </si>
  <si>
    <t xml:space="preserve">Akki N.; Ait Madi A.</t>
  </si>
  <si>
    <t xml:space="preserve">2026 6th International Conference on Innovative Research in Applied Science, Engineering and Technology, IRASET 2026</t>
  </si>
  <si>
    <t xml:space="preserve">10.1109/IRASET68627.2026.11538495</t>
  </si>
  <si>
    <t xml:space="preserve">A Hybrid Intrusion Detection System using Explainable AI for Enhanced Accuracy and Transparency</t>
  </si>
  <si>
    <t xml:space="preserve">Hemalatha A.; Vimal Kumar M.N.; Graf F.T.; Anlin Sahaya Infant Tinu M.; Pavithra P.; Suresh R.</t>
  </si>
  <si>
    <t xml:space="preserve">3rd International Conference on Electronics and Renewable Systems, ICEARS 2025 - Proceedings</t>
  </si>
  <si>
    <t xml:space="preserve">10.1109/ICEARS64219.2025.10940840</t>
  </si>
  <si>
    <t xml:space="preserve">Decentralized reinforcement learning and Cardano blockchain for IoT-enabled traffic congestion system for smart cities</t>
  </si>
  <si>
    <t xml:space="preserve">Saha S.; Chandrakar P.</t>
  </si>
  <si>
    <t xml:space="preserve">Knowledge and Information Systems</t>
  </si>
  <si>
    <t xml:space="preserve">10.1007/s10115-026-02873-4</t>
  </si>
  <si>
    <t xml:space="preserve">A Real-Time Explainable Cybersecurity Framework for Detecting Known and Unknown Attacks in Wireless Sensor Network</t>
  </si>
  <si>
    <t xml:space="preserve">Bharath M.; Pavithra M.; Lakshmi C.S.</t>
  </si>
  <si>
    <t xml:space="preserve">10.1109/ICOEI68323.2026.11541665</t>
  </si>
  <si>
    <t xml:space="preserve">Federated Learning of Explainable AI(FedXAI) for deep learning-based intrusion detection in IoT networks</t>
  </si>
  <si>
    <t xml:space="preserve">Kalakoti R.; Nõmm S.; Bahsi H.</t>
  </si>
  <si>
    <t xml:space="preserve">Computer Networks</t>
  </si>
  <si>
    <t xml:space="preserve">10.1016/j.comnet.2025.111479</t>
  </si>
  <si>
    <t xml:space="preserve">Federated Learning With Explainable AI for Malicious Traffic Detection in IoT Networks</t>
  </si>
  <si>
    <t xml:space="preserve">Ahmad Bilal M.; Ul Islam I.; Iltaf N.; Junaid Khan M.; Jaleed Khan M.</t>
  </si>
  <si>
    <t xml:space="preserve">10.1109/ACCESS.2025.3613459</t>
  </si>
  <si>
    <t xml:space="preserve">Federated Edge: Privacy-Preserving Intrusion Detection for Arduino IoT Networks</t>
  </si>
  <si>
    <t xml:space="preserve">Karthika I.; Arul Sangeeth S.; Mohamed Haarish K.; Cibesh G.K.</t>
  </si>
  <si>
    <t xml:space="preserve">Proceedings of the 2026 International Conference on AI-Driven Smart Systems and Ubiquitous Computing, ICAUC 2026</t>
  </si>
  <si>
    <t xml:space="preserve">10.1109/ICAUC68182.2026.11441063</t>
  </si>
  <si>
    <t xml:space="preserve">Energy-Efficient Hybrid CNN-BiLSTM-Lite++ Based Intrusion Detection Framework for Decentralized Wireless Sensor Networks</t>
  </si>
  <si>
    <t xml:space="preserve">2026 3rd International Conference on Advancements and Key Challenges in Green Energy and Computing, AKGEC 2026</t>
  </si>
  <si>
    <t xml:space="preserve">10.1109/AKGEC68790.2026.11485686</t>
  </si>
  <si>
    <t xml:space="preserve">Achieving Cloud Security Solutions based on Machine Learning and Past Information</t>
  </si>
  <si>
    <t xml:space="preserve">Singh S.K.; Bhambu P.; Sandhu A.; Kumar A.; Sharma D.; Pandey A.</t>
  </si>
  <si>
    <t xml:space="preserve">2024 International Conference on Augmented Reality, Intelligent Systems, and Industrial Automation, ARIIA 2024</t>
  </si>
  <si>
    <t xml:space="preserve">10.1109/ARIIA63345.2024.11051704</t>
  </si>
  <si>
    <t xml:space="preserve">Adaptive Federated Intrusion Detection Framework Using Quantum-Enhanced Harris Hawks Optimization for Edge-Based 6G Networks</t>
  </si>
  <si>
    <t xml:space="preserve">Abbas M.T.; Alogaili R.R.N.; Al-Sudani A.R.; Alsaeedi A.H.; Manickam S.</t>
  </si>
  <si>
    <t xml:space="preserve">Proceedings of International Conference on Applied Innovation in IT</t>
  </si>
  <si>
    <t xml:space="preserve">Development of Intelligent Methods to Enhance VPN Security: Literature review</t>
  </si>
  <si>
    <t xml:space="preserve">Aliya K.; Gulnara Z.; Ashimova M.; Ospanova M.; Laura A.</t>
  </si>
  <si>
    <t xml:space="preserve">2026 International Conference on Cybersecurity, Digital Forensics, and AI Applications, ICCSDFAI 2026</t>
  </si>
  <si>
    <t xml:space="preserve">10.1109/ICCSDFAI70505.2026.11647929</t>
  </si>
  <si>
    <t xml:space="preserve">Federated Blockchain Intelligence: A Multi-Modal AI Framework for Cyber-Resilient Smart Cities</t>
  </si>
  <si>
    <t xml:space="preserve">Prajwalasimha S.N.; Saini D.K.J.B.; Lakshmi K.; Kolekar S.; Joshe Raj S.P.; Monish L.</t>
  </si>
  <si>
    <t xml:space="preserve">10.1109/IC2NC67409.2025.11376046</t>
  </si>
  <si>
    <t xml:space="preserve">A Security-Constrained, Energy-Aware Hybrid ML Framework for Cloud Data Centers using Public Datasets</t>
  </si>
  <si>
    <t xml:space="preserve">Sowbarnika V.; Dhanapal R.</t>
  </si>
  <si>
    <t xml:space="preserve">Proceedings of the 9th International Conference on Electronics, Communication and Aerospace Technology, ICECA 2025</t>
  </si>
  <si>
    <t xml:space="preserve">10.1109/ICECA66444.2025.11382839</t>
  </si>
  <si>
    <t xml:space="preserve">Explainable Privacy-Preserving Intrusion Detection Framework for IoT using Federated CNN-LSTM</t>
  </si>
  <si>
    <t xml:space="preserve">Shankaramma; Supriya</t>
  </si>
  <si>
    <t xml:space="preserve">Proceedings of the 4th International Conference on Inventive Computing and Informatics, ICICI 2026</t>
  </si>
  <si>
    <t xml:space="preserve">10.1109/ICICI68773.2026.11581000</t>
  </si>
  <si>
    <t xml:space="preserve">An adaptive federated learning framework with tenant-aware non-IID partitioning and LLM-narrated explainability for multi-tenant cloud intrusion detection</t>
  </si>
  <si>
    <t xml:space="preserve">Done S.L.; Tummalapalli S.R.K.</t>
  </si>
  <si>
    <t xml:space="preserve">Discover Computing</t>
  </si>
  <si>
    <t xml:space="preserve">10.1007/s10791-026-10366-9</t>
  </si>
  <si>
    <t xml:space="preserve">Improving IoT security through an explainable hybrid CNN-transformer model and federated learning</t>
  </si>
  <si>
    <t xml:space="preserve">Al-Hejri A.M.; Al-Tam R.M.; Sable A.H.; Alshamrani S.S.; Alshmrany K.M.; Alshehri A.</t>
  </si>
  <si>
    <t xml:space="preserve">10.1038/s41598-026-54935-w</t>
  </si>
  <si>
    <t xml:space="preserve">A federated deep learning approach for SDN security with quantum optimized feature selection and hybrid MSDC net architecture</t>
  </si>
  <si>
    <t xml:space="preserve">Rohith S.; Logeswari G.; Tamilarasi K.; Sudhakaran G.</t>
  </si>
  <si>
    <t xml:space="preserve">10.1038/s41598-026-37289-1</t>
  </si>
  <si>
    <t xml:space="preserve">A Comparative Study of Intelligent Intrusion Detection Systems in IoT using Deep Learning Approaches</t>
  </si>
  <si>
    <t xml:space="preserve">Singh J.; Singh H.</t>
  </si>
  <si>
    <t xml:space="preserve">Proceedings of 7th International Conference on Intelligent Communication Technologies and Virtual Mobile Networks, ICICV 2026</t>
  </si>
  <si>
    <t xml:space="preserve">10.1109/ICICV68925.2026.11554710</t>
  </si>
  <si>
    <t xml:space="preserve">Security Enhancement in AAV Swarms: A Case Study Using Federated Learning and SHAP Analysis</t>
  </si>
  <si>
    <t xml:space="preserve">Halli Sudhakara S.; Haghnegahdar L.</t>
  </si>
  <si>
    <t xml:space="preserve">IEEE Open Journal of Intelligent Transportation Systems</t>
  </si>
  <si>
    <t xml:space="preserve">10.1109/OJITS.2025.3550792</t>
  </si>
  <si>
    <t xml:space="preserve">Network Access Layer Security in the Age of Artificial Intelligence</t>
  </si>
  <si>
    <t xml:space="preserve">Zamani M.</t>
  </si>
  <si>
    <t xml:space="preserve">International Conference on Intelligent and Sustainable AI Systems, ICOSAAS 2026 - Conference Proceedings</t>
  </si>
  <si>
    <t xml:space="preserve">10.1109/ICOSAAS68663.2026.11649345</t>
  </si>
  <si>
    <t xml:space="preserve">AI-Empowered Lightweight In-Vehicle Network Security Mechanisms: From Cryptographic Algorithms to Collaborative Defense Architectures</t>
  </si>
  <si>
    <t xml:space="preserve">Zhou Y.; Zhang J.; Ding K.; Yang G.</t>
  </si>
  <si>
    <t xml:space="preserve">SAE Technical Papers</t>
  </si>
  <si>
    <t xml:space="preserve">10.4271/2025-99-0132</t>
  </si>
  <si>
    <t xml:space="preserve">MSDA-GDS: A Dual-Branch Hybrid Federated Explainable Deep Learning Framework for CAN Bus Intrusion Detection in Internet of Vehicles</t>
  </si>
  <si>
    <t xml:space="preserve">Shakkah M.S.; Al-sellami B.; Hagar A.A.; Tawfik M.</t>
  </si>
  <si>
    <t xml:space="preserve">Statistics, Optimization and Information Computing</t>
  </si>
  <si>
    <t xml:space="preserve">10.19139/soic-2310-5070-3599</t>
  </si>
  <si>
    <t xml:space="preserve">XGuard: A Foundation Model for On-Chain Security via Joint Pretraining on Transaction Graphs and Smart-Contract Bytecode</t>
  </si>
  <si>
    <t xml:space="preserve">Polinati A.K.</t>
  </si>
  <si>
    <t xml:space="preserve">10.1007/978-3-032-25617-1_44</t>
  </si>
  <si>
    <t xml:space="preserve">Blockchain transaction security, not network or host intrusion detection</t>
  </si>
  <si>
    <t xml:space="preserve">Secure Automotive Intrusion Detection Using Federated GNNs and Explainable AI</t>
  </si>
  <si>
    <t xml:space="preserve">Patokar A.M.; Morkhade S.A.; Bhangdiya V.K.; Mawale R.S.; Yelure B.S.; Wagh S.J.; Nemade A.D.; Ghankute O.</t>
  </si>
  <si>
    <t xml:space="preserve">10.1109/ICICGR68236.2026.11600013</t>
  </si>
  <si>
    <t xml:space="preserve">Federated Explainability for Network Anomaly Characterization</t>
  </si>
  <si>
    <t xml:space="preserve">Sáez-De-Cámara X.; Flores J.L.; Arellano C.; Urbieta A.; Zurutuza U.</t>
  </si>
  <si>
    <t xml:space="preserve">ACM International Conference Proceeding Series</t>
  </si>
  <si>
    <t xml:space="preserve">10.1145/3607199.3607234</t>
  </si>
  <si>
    <t xml:space="preserve">AI-Driven Anomaly Detection in IoT Networks: A Comprehensive Survey</t>
  </si>
  <si>
    <t xml:space="preserve">Omid Khoddaman S.M.; Shirazipour A.; Mirabedini S.J.</t>
  </si>
  <si>
    <t xml:space="preserve">2026 International Biennial Conference on Advances in Artificial Intelligence and Data Science, IBAAIDS 2026</t>
  </si>
  <si>
    <t xml:space="preserve">10.1109/IBAAIDS66771.2026.11567421</t>
  </si>
  <si>
    <t xml:space="preserve">Explainable AI for Federated Learning-Based Intrusion Detection Systems in Connected Vehicles</t>
  </si>
  <si>
    <t xml:space="preserve">Taheri R.; Jafari R.; Gegov A.; Arabikhan F.; Ichtev A.</t>
  </si>
  <si>
    <t xml:space="preserve">Electronics (Switzerland)</t>
  </si>
  <si>
    <t xml:space="preserve">10.3390/electronics14224508</t>
  </si>
  <si>
    <t xml:space="preserve">Machine Learning versus Deep Learning for Network Traffic Anomaly Detection: A Systematic Literature Review</t>
  </si>
  <si>
    <t xml:space="preserve">Shree Kantesh K.H.; Tejaswi K.; Shivakumara T.; Renuka L.; Anusha</t>
  </si>
  <si>
    <t xml:space="preserve">17th International Conference on Advances in Computing, Control, and Telecommunication Technologies, ACT 2026</t>
  </si>
  <si>
    <t xml:space="preserve">Cyber Sentry: Strengthening Security Infrastructure for Industrial Cyber-Physical Systems Using Federated Deep Learning</t>
  </si>
  <si>
    <t xml:space="preserve">Rashid M.H.; Naeem A.; Aslam N.; Fuzail M.; Mazhar F.; Umar M.</t>
  </si>
  <si>
    <t xml:space="preserve">An Enhanced Federated Learning Framework for Intrusion Detection in SDN Using Local Interpretable Model-Agnostic Explanations</t>
  </si>
  <si>
    <t xml:space="preserve">Kazmi S.H.A.; Hassan R.; Qamar F.; Nisar K.; Idrus B.; Adnan N.</t>
  </si>
  <si>
    <t xml:space="preserve">Proceedings of the International Conference on Electrical Engineering and Informatics</t>
  </si>
  <si>
    <t xml:space="preserve">10.1109/ICEEI68459.2025.11331224</t>
  </si>
  <si>
    <t xml:space="preserve">NeuroGuardX: A Real-Time, Privacy-Preserving, and Explainable Intrusion Detection System for Online Social Networks</t>
  </si>
  <si>
    <t xml:space="preserve">Boahen E.K.; Shahraki A.S.; Rudolph C.; Liu J.K.; Tari Z.</t>
  </si>
  <si>
    <t xml:space="preserve">IEEE Transactions on Services Computing</t>
  </si>
  <si>
    <t xml:space="preserve">10.1109/TSC.2026.3668916</t>
  </si>
  <si>
    <t xml:space="preserve">Smart Cybersecurity Using Machine Learning for Intrusion Detection and Threat Prevention</t>
  </si>
  <si>
    <t xml:space="preserve">Murthy N.; Goyal G.; Ankushavali Md.; Tamilarasi M.; Chamarthi S.; Sharma M.</t>
  </si>
  <si>
    <t xml:space="preserve">10.1109/ICSCAI68849.2026.11648775</t>
  </si>
  <si>
    <t xml:space="preserve">Hybrid Intelligent Security Framework for UAV-IoT Networks Using Explainable AI and Federated Learning</t>
  </si>
  <si>
    <t xml:space="preserve">Aurangzeb K.; Han S.; Ul Hassan C.A.</t>
  </si>
  <si>
    <t xml:space="preserve">CSRSWTC 2026 - 2026 Cross Strait Radio Science and Wireless Technology Conference, Proceedings</t>
  </si>
  <si>
    <t xml:space="preserve">10.1109/CSRSWTC71154.2026.11669582</t>
  </si>
  <si>
    <t xml:space="preserve">XAI FL-IDS: A Federated Learning and SHAP-Based Explainable Framework for Distributed Intrusion Detection Systems</t>
  </si>
  <si>
    <t xml:space="preserve">Gholamrezazadeh M.H.; Montazerolghaem A.</t>
  </si>
  <si>
    <t xml:space="preserve">11th International Conference on Signal Processing and Intelligent Systems, ICSPIS 2025</t>
  </si>
  <si>
    <t xml:space="preserve">10.1109/ICSPIS68676.2025.11551742</t>
  </si>
  <si>
    <t xml:space="preserve">GenFed-IDS: A Lightweight Federated Generative AI Framework for UAV Anomaly Detection in Rescue Operations</t>
  </si>
  <si>
    <t xml:space="preserve">Attaullah H.M.; Ehsan M.; Basheer S.; Alluhaidan A.S.</t>
  </si>
  <si>
    <t xml:space="preserve">IEEE Transactions on Consumer Electronics</t>
  </si>
  <si>
    <t xml:space="preserve">10.1109/TCE.2026.3658881</t>
  </si>
  <si>
    <t xml:space="preserve">Federated Deep Learning for Intrusion Detection in Vehicle-to-Vehicle Networks: A Comprehensive Survey</t>
  </si>
  <si>
    <t xml:space="preserve">Ranjima P.; Kannan D.</t>
  </si>
  <si>
    <t xml:space="preserve">Proceedings of 5th International Conference on Communication, Computing and Electronics Systems, ICCCES 2026</t>
  </si>
  <si>
    <t xml:space="preserve">10.1109/ICCCES62661.2026.11436374</t>
  </si>
  <si>
    <t xml:space="preserve">Exploring AI Techniques for Enhancing Network Security</t>
  </si>
  <si>
    <t xml:space="preserve">Ur Rehman Z.; Ur Rehman Rana M.; Haider A.; Qureshi M.A.; Khan M.; Nosheen S.</t>
  </si>
  <si>
    <t xml:space="preserve">DataSciMI 2026 - 2026 International Conference on Data Science, Machine Learning, and Business Intelligence, Proceedings</t>
  </si>
  <si>
    <t xml:space="preserve">10.1109/DataSciMI67380.2026.11523981</t>
  </si>
  <si>
    <t xml:space="preserve">A Survey of Intrusion Detection Systems in Deep Learning Era: Methods and Perspectives</t>
  </si>
  <si>
    <t xml:space="preserve">Berrezzek A.; Djellali H.; Mahnane L.</t>
  </si>
  <si>
    <t xml:space="preserve">2025 2nd International Conference on Advances in Electronics, Control and Communication Systems, ICAECCS 2025</t>
  </si>
  <si>
    <t xml:space="preserve">10.1109/ICAECCS68240.2025.11384749</t>
  </si>
  <si>
    <t xml:space="preserve">HED-ID: a federated expert system for interpretable and resource-adaptive intrusion detection on edge devices</t>
  </si>
  <si>
    <t xml:space="preserve">Nasir K.; Badri S.K.; Khattak A.; Alghazzawi D.M.; Alghamdi M.Y.; Alkhozae M.; Almakky A.; Alhazmi R.M.; Asghar M.Z.</t>
  </si>
  <si>
    <t xml:space="preserve">10.1038/s41598-026-61336-6</t>
  </si>
  <si>
    <t xml:space="preserve">A Secure Federated Learning and Blockchain Framework for E-Health Threat Detection</t>
  </si>
  <si>
    <t xml:space="preserve">Banupriya P.G.; Vanitha K.</t>
  </si>
  <si>
    <t xml:space="preserve">Journal of Vibration Engineering and Technologies</t>
  </si>
  <si>
    <t xml:space="preserve">10.1007/s42417-026-02702-6</t>
  </si>
  <si>
    <t xml:space="preserve">State-of-the-Art Research in Intrusion Detection Systems (IDS) for Network Attack Detection: A Review</t>
  </si>
  <si>
    <t xml:space="preserve">Olagunju K.M.; Adebiyi A.A.; Adeliyi T.T.; Oguntoye J.P.; Igbekele E.O.; Osunade S.</t>
  </si>
  <si>
    <t xml:space="preserve">NIPES - Journal of Science and Technology Research</t>
  </si>
  <si>
    <t xml:space="preserve">10.37933/nipes/7.4.2025.SI113</t>
  </si>
  <si>
    <t xml:space="preserve">Healthcare Security using Federated Learning and Explainable AI with Secure Aggregation</t>
  </si>
  <si>
    <t xml:space="preserve">Mukhila R.; Sundhari M.; Nandeta S.; Pavithra S.</t>
  </si>
  <si>
    <t xml:space="preserve">Proceedings of International Conference on Sustainable Communication Networks and Application, ICSCN 2025</t>
  </si>
  <si>
    <t xml:space="preserve">10.1109/ICSCN67106.2025.11308245</t>
  </si>
  <si>
    <t xml:space="preserve">THE EVOLUTION OF INTRUSION DETECTION SYSTEMS: A COMPREHENSIVE REVIEW OF MODERN DATASETS, DEEP LEARNING APPROACHES, AND ARCHITECTURAL CHALLENGES; [Еволюція систем виявлення вторгнень: всебічний огляд сучасних наборів даних, методів глибокого навчання та архітектурних викликів В. О. Полторацький, С. Ю. Гавриленко]</t>
  </si>
  <si>
    <t xml:space="preserve">Poltoratskyi V.; Gavrylenko S.</t>
  </si>
  <si>
    <t xml:space="preserve">10.20998/2522-9052.2026.2.11</t>
  </si>
  <si>
    <t xml:space="preserve">Classification of Network Anomalies Using a Multilayer Perceptron</t>
  </si>
  <si>
    <t xml:space="preserve">Kushnerov O.; Melenti Y.; Yevseiev S.; Sokol V.; Milevskyi S.; Dunaiev S.</t>
  </si>
  <si>
    <t xml:space="preserve">ISAS 2025 - 9th International Symposium on Innovative Approaches in Smart Technologies, Proceedings</t>
  </si>
  <si>
    <t xml:space="preserve">10.1109/ISAS66241.2025.11101769</t>
  </si>
  <si>
    <t xml:space="preserve">Securing Networks: A Deep Learning Approach with Explainable AI (XAI) and Federated Learning for Intrusion Detection</t>
  </si>
  <si>
    <t xml:space="preserve">Fatema K.; Anannya M.; Dey S.K.; Su C.; Mazumder R.</t>
  </si>
  <si>
    <t xml:space="preserve">Lecture Notes in Computer Science (including subseries Lecture Notes in Artificial Intelligence and Lecture Notes in Bioinformatics) </t>
  </si>
  <si>
    <t xml:space="preserve">10.1007/978-981-97-8540-7_16</t>
  </si>
  <si>
    <t xml:space="preserve">Federated learning-powered real-time behavioral intrusion detection leveraging LSTM, attention, GANs, and large language models</t>
  </si>
  <si>
    <t xml:space="preserve">AlHayan A.; Al-Muhtadi J.</t>
  </si>
  <si>
    <t xml:space="preserve">10.1038/s41598-026-40763-5</t>
  </si>
  <si>
    <t xml:space="preserve">Trustworthy AI and Federated Learning for Intrusion Detection in 6G-Connected Smart Buildings</t>
  </si>
  <si>
    <t xml:space="preserve">Garroppo R.G.; Giardina P.G.; Landi G.; Ruta M.</t>
  </si>
  <si>
    <t xml:space="preserve">10.3390/fi17050191</t>
  </si>
  <si>
    <t xml:space="preserve">Choir-IDS: A federated learning framework for fidelity-calibrated explainable intrusion detection system for edge-IoT networks</t>
  </si>
  <si>
    <t xml:space="preserve">Sahoo J.P.; Kar B.; Abdelmoniem A.M.; Chatzopoulos D.</t>
  </si>
  <si>
    <t xml:space="preserve">Information Fusion</t>
  </si>
  <si>
    <t xml:space="preserve">10.1016/j.inffus.2025.103473</t>
  </si>
  <si>
    <t xml:space="preserve">SkyVehiGuard-Net: A Mamba-MoE Framework for IoV Security Over Space–Air–Ground-Integrated Networks</t>
  </si>
  <si>
    <t xml:space="preserve">Liu X.; Mahandren C.; Okmi M.; Chen Y.-L.; Alhefdi M.; Alsolai H.; Yee P.L.</t>
  </si>
  <si>
    <t xml:space="preserve">10.1002/ett.70463</t>
  </si>
  <si>
    <t xml:space="preserve">Fed-SHAP-IDS: Federated SHAP-Based Intrusion Detection System for IoMT</t>
  </si>
  <si>
    <t xml:space="preserve">Yacoubi M.; Moussaoui O.; Drocourt C.</t>
  </si>
  <si>
    <t xml:space="preserve">International Conference on Agents and Artificial Intelligence</t>
  </si>
  <si>
    <t xml:space="preserve">10.5220/0014315500004052</t>
  </si>
  <si>
    <t xml:space="preserve">RobustFedX: Secure Aggregation of SHAP Explanations in Federated Intrusion Detection Against Byzantine Vehicles</t>
  </si>
  <si>
    <t xml:space="preserve">Alayed W.; Tahir H.A.; Hassan W.U.</t>
  </si>
  <si>
    <t xml:space="preserve">10.1109/ACCESS.2026.3697999</t>
  </si>
  <si>
    <t xml:space="preserve">Explainable Heterogeneous Federated Learning for Intrusion Detection in IIoT</t>
  </si>
  <si>
    <t xml:space="preserve">Elsayed T.; Zamzam M.; Ashour M.</t>
  </si>
  <si>
    <t xml:space="preserve">35th International Conference on Computer Theory and Applications, ICCTA 2025 - Conference Proceedings</t>
  </si>
  <si>
    <t xml:space="preserve">10.1109/ICCTA68914.2025.11520016</t>
  </si>
  <si>
    <t xml:space="preserve">FedX: Privacy-Preserving Explainable Federated Ensemble Intrusion Detection System for Edge-Enabled Internet of Vehicles</t>
  </si>
  <si>
    <t xml:space="preserve">Nedungadi N.; Sankaran S.; Achuthan K.</t>
  </si>
  <si>
    <t xml:space="preserve">Big Data and Cognitive Computing</t>
  </si>
  <si>
    <t xml:space="preserve">10.3390/bdcc10050160</t>
  </si>
  <si>
    <t xml:space="preserve">FeXAI: Federated and Explainable AI for cyber threat detection in IoT-enabled smart transportation systems</t>
  </si>
  <si>
    <t xml:space="preserve">Gurushanker A.; Rufus A.J.; Columbus C.C.; Aravind C.K.</t>
  </si>
  <si>
    <t xml:space="preserve">10.1038/s41598-026-46141-5</t>
  </si>
  <si>
    <t xml:space="preserve">An adversarial-resilient intrusion detection framework for internet of medical things (IoMT) using digital twin-enabled behavioral threat modeling and federated hybrid ensemble learning</t>
  </si>
  <si>
    <t xml:space="preserve">Alkhattabi K.; Belhaj S.; Selecky J.; Talha M.</t>
  </si>
  <si>
    <t xml:space="preserve">10.1038/s41598-026-55893-z</t>
  </si>
  <si>
    <t xml:space="preserve">An Explainable AI-Driven Cyber Threat Intelligence Framework for Proactive and Adaptive Cyberattack Detection</t>
  </si>
  <si>
    <t xml:space="preserve">Yadav R.; Chodey M.D.; Begum S.; Sindagi P.; Bhosle M.R.; Pandey A.</t>
  </si>
  <si>
    <t xml:space="preserve">10.59543/jidmis.v3.1997</t>
  </si>
  <si>
    <t xml:space="preserve">Trustworthy Deep Learning for Cybersecurity: A Structured Review Across Detection, Robustness, Privacy, Explainability, and Deployment</t>
  </si>
  <si>
    <t xml:space="preserve">Ghayoumi M.; Ghazinour K.; Marrero A.; Barmas D.; Cook C.; May M.; Liu C.; Johnson B.; Fofana A.</t>
  </si>
  <si>
    <t xml:space="preserve">10.3390/electronics15112421</t>
  </si>
  <si>
    <t xml:space="preserve">XAI-EdgeSFL: Explainable Edge Intelligence With Adaptive Intrusion-Resilient Split Federated Learning for Consumer Healthcare Ecosystems</t>
  </si>
  <si>
    <t xml:space="preserve">Zhao Y.; Ullah F.; Mahmood K.; Saeed S.; Mohammad N.; Raza U.</t>
  </si>
  <si>
    <t xml:space="preserve">10.1109/TCE.2026.3656201</t>
  </si>
  <si>
    <t xml:space="preserve">Leveraging Explainability of AI-Based Intrusion Detection Systems in a Federated Environment</t>
  </si>
  <si>
    <t xml:space="preserve">Ducange P.; Fazzolari M.; Marcelloni F.; Miglionico G.C.</t>
  </si>
  <si>
    <t xml:space="preserve">Proceedings of the International Joint Conference on Neural Networks</t>
  </si>
  <si>
    <t xml:space="preserve">10.1109/IJCNN64981.2025.11228967</t>
  </si>
  <si>
    <t xml:space="preserve">Fed-CGIDS-UAV: Federated Causal Graph Learning for Cross-Domain Intrusion Detection in Cyber-Physical Drone Networks</t>
  </si>
  <si>
    <t xml:space="preserve">Alkhamis S.A.; Alhalangy A.; Eltayeb G.E.A.; Abouelkheir E.</t>
  </si>
  <si>
    <t xml:space="preserve">Symmetry</t>
  </si>
  <si>
    <t xml:space="preserve">10.3390/sym18081292</t>
  </si>
  <si>
    <t xml:space="preserve">Zero-Trust Agentic Federated Learning for Secure Internet of Things (IoT) Defense Systems</t>
  </si>
  <si>
    <t xml:space="preserve">Singh S.K.; Roy J.; So M.</t>
  </si>
  <si>
    <t xml:space="preserve">2026 IEEE 2nd Secure and Trustworthy Cyberinfrastructure for IoT and Microelectronics, SATC 2026 - Conference Proceedings</t>
  </si>
  <si>
    <t xml:space="preserve">10.1109/SATC69565.2026.11542411</t>
  </si>
  <si>
    <t xml:space="preserve">Securing Federated Learning through Blockchain and Explainable AI for Robust Intrusion Detection in IoT Networks</t>
  </si>
  <si>
    <t xml:space="preserve">El Houda Z.A.; Moudoud H.; Brik B.; Khoukhi L.</t>
  </si>
  <si>
    <t xml:space="preserve">IEEE INFOCOM 2023 - Conference on Computer Communications Workshops, INFOCOM WKSHPS 2023</t>
  </si>
  <si>
    <t xml:space="preserve">10.1109/INFOCOMWKSHPS57453.2023.10225769</t>
  </si>
  <si>
    <t xml:space="preserve">A deep learning ensemble approach for malware detection in Internet of Things utilizing Explainable Artificial Intelligence</t>
  </si>
  <si>
    <t xml:space="preserve">Mittal S.; Wazid M.; Singh D.P.; Das A.K.; Hossain M.S.</t>
  </si>
  <si>
    <t xml:space="preserve">Engineering Applications of Artificial Intelligence</t>
  </si>
  <si>
    <t xml:space="preserve">10.1016/j.engappai.2024.109560</t>
  </si>
  <si>
    <t xml:space="preserve">Explainable Federated Learning and Quantum-based Secure Framework for V2X Communication</t>
  </si>
  <si>
    <t xml:space="preserve">Mehta D.; Patel C.; Shah M.; Pathak L.; Vyas T.; Nair A.; Gupta R.; Tanwar S.; Gupta A.</t>
  </si>
  <si>
    <t xml:space="preserve">10.1109/GCWkshps68340.2025.11590988</t>
  </si>
  <si>
    <t xml:space="preserve">GeoGuard-PTI: a geo-temporal predictive threat intelligence framework with spatiotemporal attack forecasting and closed-loop adaptive defense</t>
  </si>
  <si>
    <t xml:space="preserve">Frontiers in Artificial Intelligence</t>
  </si>
  <si>
    <t xml:space="preserve">10.3389/frai.2026.1850560</t>
  </si>
  <si>
    <t xml:space="preserve">Adaptive graph attention-based federated learning for IoT intrusion detection: mitigating poisoning attacks</t>
  </si>
  <si>
    <t xml:space="preserve">Sanjalawe Y.; Al-E’mari S.; Alqurashi T.; Alharbi Z.H.; Makhadmeh S.N.; Alsharaiah M.</t>
  </si>
  <si>
    <t xml:space="preserve">10.7717/peerj-cs.3281</t>
  </si>
  <si>
    <t xml:space="preserve">Comprehensive Study of SQL Injection Attacks Mitigation Methods and Future Directions</t>
  </si>
  <si>
    <t xml:space="preserve">Al-Olaqi M.; Al-Gailani A.; Rahman M.M.H.</t>
  </si>
  <si>
    <t xml:space="preserve">Journal of Cyber Security and Risk Auditing</t>
  </si>
  <si>
    <t xml:space="preserve">10.63180/jcsra.thestap.2025.4.11</t>
  </si>
  <si>
    <t xml:space="preserve">Federated and Explainable Intrusion Detection Systems for Large-Scale Heterogeneous Networks using Ensemble Deep Learning</t>
  </si>
  <si>
    <t xml:space="preserve">Kuzhaloli S.; Malathi V.; Lakshmi B.J.; Sriharsha A.V.; Dinesh Kumar T.; Lakshmibai T.</t>
  </si>
  <si>
    <t xml:space="preserve">4th International Conference on Automation, Computing and Renewable Systems, ICACRS 2025 - Proceedings</t>
  </si>
  <si>
    <t xml:space="preserve">10.1109/ICACRS67045.2025.11324277</t>
  </si>
  <si>
    <t xml:space="preserve">Next-Generation Intrusion Detection for IoT Networks: a Detailed Survey and Analysis</t>
  </si>
  <si>
    <t xml:space="preserve">Modak R.; Phadikar S.; Majumder K.; Dasgupta A.</t>
  </si>
  <si>
    <t xml:space="preserve">Smart Innovation, Systems and Technologies</t>
  </si>
  <si>
    <t xml:space="preserve">10.1007/978-3-032-22114-8_37</t>
  </si>
  <si>
    <t xml:space="preserve">AI-Based Security Engineering for Fintech and Regulated Industries</t>
  </si>
  <si>
    <t xml:space="preserve">Ulaganathan I.; Antara F.N.U.; Varma S.C.G.; Mamadiyarov Z.; Turayev Z.</t>
  </si>
  <si>
    <t xml:space="preserve">2025 International Conference on Sustainability, Innovation and Technology, ICSIT 2025</t>
  </si>
  <si>
    <t xml:space="preserve">10.1109/ICSIT65336.2025.11294748</t>
  </si>
  <si>
    <t xml:space="preserve">ADAPTIVE MULTI-STAGE CLOUD INTRUSION DEFENCE AND RECOVERY VIA HIERARCHICAL FEATURE OPTIMIZATION AND FEDERATED INTELLIGENCE SETS</t>
  </si>
  <si>
    <t xml:space="preserve">Shambharkar S.S.; Malik L.G.</t>
  </si>
  <si>
    <t xml:space="preserve">Journal of Engineering and Technology for Industrial Applications</t>
  </si>
  <si>
    <t xml:space="preserve">10.5935/jetia.v12i57.3180</t>
  </si>
  <si>
    <t xml:space="preserve">Secure and Explainable Artificial Intelligence (XAI) in Cloud Ecosystems: Challenges and Opportunities</t>
  </si>
  <si>
    <t xml:space="preserve">Khalasi D.; Bathwar D.; Bhatia J.; Kumhar M.; Thumar V.</t>
  </si>
  <si>
    <t xml:space="preserve">10.1007/978-981-99-4932-8_51</t>
  </si>
  <si>
    <t xml:space="preserve">AI-Powered Intrusion Detection System in IoT Devices</t>
  </si>
  <si>
    <t xml:space="preserve">Kushwaha A.S.; El-Anqoudy N.A.N.; Singh R.D.; Chacko D.; Mohamed J.Y.</t>
  </si>
  <si>
    <t xml:space="preserve">2026 International Conference on Intelligent Systems in Engineering, Secured Systems and Cybersecurity, ICISESSC 2026</t>
  </si>
  <si>
    <t xml:space="preserve">10.1109/ICISESSC68634.2026.11542779</t>
  </si>
  <si>
    <t xml:space="preserve">On the trustworthiness of federated learning models for 5G network intrusion detection under heterogeneous data</t>
  </si>
  <si>
    <t xml:space="preserve">Lamprou V.; Doukas G.; Ntanos C.; Askounis D.</t>
  </si>
  <si>
    <t xml:space="preserve">10.1016/j.comnet.2025.111598</t>
  </si>
  <si>
    <t xml:space="preserve">CPS-IoT-PPDNN: A new explainable privacy preserving DNN for resilient anomaly detection in Cyber-Physical Systems-enabled IoT networks</t>
  </si>
  <si>
    <t xml:space="preserve">Saheed Y.K.; Misra S.</t>
  </si>
  <si>
    <t xml:space="preserve">Chaos, Solitons and Fractals</t>
  </si>
  <si>
    <t xml:space="preserve">10.1016/j.chaos.2024.115939</t>
  </si>
  <si>
    <t xml:space="preserve">Enhancing Cybersecurity Through Artificial Intelligence: A Novel Approach to Intrusion Detection</t>
  </si>
  <si>
    <t xml:space="preserve">Alzaylaee M.K.</t>
  </si>
  <si>
    <t xml:space="preserve">International Journal of Advanced Computer Science and Applications</t>
  </si>
  <si>
    <t xml:space="preserve">10.14569/IJACSA.2025.0160458</t>
  </si>
  <si>
    <t xml:space="preserve">FedCLX-IDS: A Federated CNN-LSTM Based Explainable Intrusion Detection System targeting IoT Networks</t>
  </si>
  <si>
    <t xml:space="preserve">Utal E.S.; Shawon Md.K.A.; Shihab M.A.; Nadim Md.; Ali M.A.</t>
  </si>
  <si>
    <t xml:space="preserve">2026 5th International Conference on Electrical, Computer and Telecommunication Engineering, ICECTE 2026</t>
  </si>
  <si>
    <t xml:space="preserve">10.1109/ICECTE69292.2026.11429184</t>
  </si>
  <si>
    <t xml:space="preserve">Privacy-Preserving Federated Learning-Based Intrusion Detection System for IoHT Devices</t>
  </si>
  <si>
    <t xml:space="preserve">Mosaiyebzadeh F.; Pouriyeh S.; Han M.; Liu L.; Xie Y.; Zhao L.; Batista D.M.</t>
  </si>
  <si>
    <t xml:space="preserve">10.3390/electronics14010067</t>
  </si>
  <si>
    <t xml:space="preserve">Hybrid CNN BiLSTM architecture for smart grid cyberattack detection using smart meter data</t>
  </si>
  <si>
    <t xml:space="preserve">Alamgir F.M.; Das S.; Akand A.R.; Fariha A.; Islam M.R.; Sarker M.Z.I.; Zuberi N.; Arman M.</t>
  </si>
  <si>
    <t xml:space="preserve">10.1038/s41598-026-55727-y</t>
  </si>
  <si>
    <t xml:space="preserve">A Comparative Study of Intelligent Intrusion Detection Systems in IoT using Traditional Machine Learning Approaches</t>
  </si>
  <si>
    <t xml:space="preserve">10.1109/ICOEI68323.2026.11541902</t>
  </si>
  <si>
    <t xml:space="preserve">Vision Transformers-Enhanced Cybersecurity Framework for Intrusion Detection</t>
  </si>
  <si>
    <t xml:space="preserve">Devi R.; Gomathi N.; Geerthik S.; Jayaram B.; Manikandaprabu P.; Nachiappan S.</t>
  </si>
  <si>
    <t xml:space="preserve">Proceedings of 2025 10th International Conference on Science Technology, Engineering and Mathematics, ICONSTEM 2025</t>
  </si>
  <si>
    <t xml:space="preserve">10.1109/ICONSTEM65670.2025.11374855</t>
  </si>
  <si>
    <t xml:space="preserve">Integration of Artificial Intelligence in Network Technology: A Literature Review</t>
  </si>
  <si>
    <t xml:space="preserve">Mahesa G.; Tajri A.; Pujito E.A.; Rizal M.; Bagaskara D.A.; Efgivia M.G.</t>
  </si>
  <si>
    <t xml:space="preserve">International Journal of Emerging Research in Engineering, Science, and Management</t>
  </si>
  <si>
    <t xml:space="preserve">10.58482/ijeresm.v4i2.4</t>
  </si>
  <si>
    <t xml:space="preserve">Explainable federated learning through causal reasoning for intrusion detection in IoT</t>
  </si>
  <si>
    <t xml:space="preserve">Asiri F.</t>
  </si>
  <si>
    <t xml:space="preserve">10.1007/s43926-026-00292-z</t>
  </si>
  <si>
    <t xml:space="preserve">PrivFly: A Privacy-Preserving Self-Supervised Framework for Rare Attack Detection in IoFT</t>
  </si>
  <si>
    <t xml:space="preserve">Menssouri S.; Amhoud E.M.</t>
  </si>
  <si>
    <t xml:space="preserve">IEEE International Conference on Communications</t>
  </si>
  <si>
    <t xml:space="preserve">10.1109/ICC59461.2026.11587533</t>
  </si>
  <si>
    <t xml:space="preserve">Ai-powered cybersecurity defending against advanced threats with machine learning</t>
  </si>
  <si>
    <t xml:space="preserve">Li W.; Abbas M.; Parayangat M.; Kalathil S.</t>
  </si>
  <si>
    <t xml:space="preserve">Engineering Science and Technology, an International Journal</t>
  </si>
  <si>
    <t xml:space="preserve">10.1016/j.jestch.2026.102414</t>
  </si>
  <si>
    <t xml:space="preserve">A Systematic Review of Modern Intrusion Detection Systems: Challenges, Techniques, and Future Trends for Network Security</t>
  </si>
  <si>
    <t xml:space="preserve">Qader M.Y.; Abdulrahman H.; Al-Azawi M.</t>
  </si>
  <si>
    <t xml:space="preserve">International Journal of Safety and Security Engineering</t>
  </si>
  <si>
    <t xml:space="preserve">10.18280/ijsse.160415</t>
  </si>
  <si>
    <t xml:space="preserve">A Comprehensive Review of Explainable AI Techniques for Cyber Threat Characterization in Network Traffic and System Logs</t>
  </si>
  <si>
    <t xml:space="preserve">Rewaskar V.D.; Chandre P.</t>
  </si>
  <si>
    <t xml:space="preserve">10.1109/ICRTCST68392.2026.11545448</t>
  </si>
  <si>
    <t xml:space="preserve">Federated Learning Meets Explainable AI: A Comprehensive Review and Roadmap for Privacy-Preserving Cybersecurity</t>
  </si>
  <si>
    <t xml:space="preserve">Ghosh A.; Jaiswal S.; Bhatnagar G.; Dobriyal R.; Tyagi N.; Kurmi R.S.</t>
  </si>
  <si>
    <t xml:space="preserve">10.1109/IC3ECSBHI67834.2026.11469080</t>
  </si>
  <si>
    <t xml:space="preserve">EXPLAINABLE AI for Applied Federated Learning in Network Intrusion Detection</t>
  </si>
  <si>
    <t xml:space="preserve">Akhter J.; Annie Jerusha Y.; Syed Ibrahim S.P.; Varadharajan V.</t>
  </si>
  <si>
    <t xml:space="preserve">Lecture Notes in Electrical Engineering</t>
  </si>
  <si>
    <t xml:space="preserve">10.1007/978-981-96-5848-0_26</t>
  </si>
  <si>
    <t xml:space="preserve">FNS-ID: A Federated Neuro-Symbolic Intrusion Detection System for Zero-Day Threat Detection in Mobile Applications</t>
  </si>
  <si>
    <t xml:space="preserve">Srujana K.; Himani N.; Vyshnavi P.N.; Yoga Venkata Sai Kiran Achary N.</t>
  </si>
  <si>
    <t xml:space="preserve">Proceedings of 2nd International Conference on Multi-Agent Systems for Collaborative Intelligence, ICMSCI 2026</t>
  </si>
  <si>
    <t xml:space="preserve">10.1109/ICMSCI67830.2026.11469617</t>
  </si>
  <si>
    <t xml:space="preserve">Consensus hybrid ensemble machine learning for intrusion detection with explainable AI</t>
  </si>
  <si>
    <t xml:space="preserve">Ahmed U.; Jiangbin Z.; Khan S.; Sadiq M.T.</t>
  </si>
  <si>
    <t xml:space="preserve">Journal of Network and Computer Applications</t>
  </si>
  <si>
    <t xml:space="preserve">10.1016/j.jnca.2024.104091</t>
  </si>
  <si>
    <t xml:space="preserve">An Explainable Federated Learning-Based Intrusion Detection Framework for Zero-Day Cybersecurity Threats in SDN</t>
  </si>
  <si>
    <t xml:space="preserve">Mohamed Sithik M.; Nikesh S.; Mohammed Ziyahid S.A.; Ramamoorthi S.; Priya S.; Mohammed Uveise S.A.</t>
  </si>
  <si>
    <t xml:space="preserve">1st International Conference on Intelligent Computing, Networks and Security, IC-ICNS 2026</t>
  </si>
  <si>
    <t xml:space="preserve">10.1109/IC-ICNS68863.2026.11537696</t>
  </si>
  <si>
    <t xml:space="preserve">Security Solutions for the Internet of Things Using Machine Learning and Deep Learning: Current Trends and Future Directions</t>
  </si>
  <si>
    <t xml:space="preserve">Sharma H.; Kumar P.; Sharma K.</t>
  </si>
  <si>
    <t xml:space="preserve">Wiley Interdisciplinary Reviews: Data Mining and Knowledge Discovery</t>
  </si>
  <si>
    <t xml:space="preserve">10.1002/widm.70059</t>
  </si>
  <si>
    <t xml:space="preserve">Explainable Transform Learning for Interpretable Medical Image Analysis</t>
  </si>
  <si>
    <t xml:space="preserve">Santosh Kumar B.; Nagarajan A.; Sumathi S.; Prabakaran S.; Clapten J E.; Murugan V.</t>
  </si>
  <si>
    <t xml:space="preserve">Proceedings of the 7th International Conference on Innovative Data Communication Technologies and Application, ICIDCA 2025</t>
  </si>
  <si>
    <t xml:space="preserve">10.1109/ICIDCA66325.2025.11280392</t>
  </si>
  <si>
    <t xml:space="preserve">Medical image analysis, not intrusion detection</t>
  </si>
  <si>
    <t xml:space="preserve">Federated Learning Driven Machine Learning Models for Network Intrusion Detection</t>
  </si>
  <si>
    <t xml:space="preserve">Saira Banu J.; Ikram S.T.; Dhindsa H.K.</t>
  </si>
  <si>
    <t xml:space="preserve">Procedia Computer Science</t>
  </si>
  <si>
    <t xml:space="preserve">10.1016/j.procs.2026.06.406</t>
  </si>
  <si>
    <t xml:space="preserve">On the fog’s frontline: a federated machine learning approach for industrial network threat detection and intrusion prevention</t>
  </si>
  <si>
    <t xml:space="preserve">Ali B.</t>
  </si>
  <si>
    <t xml:space="preserve">Journal of Cybersecurity</t>
  </si>
  <si>
    <t xml:space="preserve">10.1093/cybsec/tyaf041</t>
  </si>
  <si>
    <t xml:space="preserve">AI and Machine Learning for Cloud Security: A Comprehensive Survey of IDS and Threat Detection Methods</t>
  </si>
  <si>
    <t xml:space="preserve">Devarapalem A.K.</t>
  </si>
  <si>
    <t xml:space="preserve">2nd Asian Conference on Intelligent Technologies, ACOIT 2025</t>
  </si>
  <si>
    <t xml:space="preserve">10.1109/ACOIT66109.2025.11436133</t>
  </si>
  <si>
    <t xml:space="preserve">Explainable machine learning-based security and privacy protection framework for internet of medical things systems</t>
  </si>
  <si>
    <t xml:space="preserve">Si-Ahmed A.; Al-Garadi M.A.; Boustia N.</t>
  </si>
  <si>
    <t xml:space="preserve">Internet of Things (The Netherlands)</t>
  </si>
  <si>
    <t xml:space="preserve">10.1016/j.iot.2026.102065</t>
  </si>
  <si>
    <t xml:space="preserve">Explainable Federated Learning and Quantum-based Secure Remote Patient Monitoring Framework</t>
  </si>
  <si>
    <t xml:space="preserve">Shah M.; Dave K.; Trivedi K.; Mehta D.; Gupta R.; Tanwar S.; Gawanmeh A.; Rodrigues J.J.P.C.</t>
  </si>
  <si>
    <t xml:space="preserve">2025 IEEE International Conference on E-health Networking, Application and Services, Healthcom 2025</t>
  </si>
  <si>
    <t xml:space="preserve">10.1109/HealthCom60686.2025.11343164</t>
  </si>
  <si>
    <t xml:space="preserve">Fog-Based Intrusion Detection Systems: A Systematic Review of Machine Learning, Deep Learning and Hybrid IDS Architectures and Methodologies</t>
  </si>
  <si>
    <t xml:space="preserve">Debnath P.; Modak R.; Phadikar S.; Majumder K.</t>
  </si>
  <si>
    <t xml:space="preserve">10.1007/978-3-032-31216-7_5</t>
  </si>
  <si>
    <t xml:space="preserve">Explainable and Privacy-Preserving Multi-Class Network Intrusion Detection Using SHAP and LightGBM</t>
  </si>
  <si>
    <t xml:space="preserve">Dudi K.; Singh M.; Kumar D.; Kumar N.; Sharmila A.</t>
  </si>
  <si>
    <t xml:space="preserve">2025 5th International Conference on Advancement in Electronics and Communication Engineering, AECE 2025</t>
  </si>
  <si>
    <t xml:space="preserve">10.1109/AECE67531.2025.11386640</t>
  </si>
  <si>
    <t xml:space="preserve">Enhancing threat detection, privacy, and robustness in IDS using explainable Fed-GAT with WGAN augmentation</t>
  </si>
  <si>
    <t xml:space="preserve">Ahmad H.B.; Gao H.; Latif N.</t>
  </si>
  <si>
    <t xml:space="preserve">Journal of Information Security and Applications</t>
  </si>
  <si>
    <t xml:space="preserve">10.1016/j.jisa.2026.104586</t>
  </si>
  <si>
    <t xml:space="preserve">Farm-FlowNet: A Lightweight CNN-Based IDS for Precision Agriculture</t>
  </si>
  <si>
    <t xml:space="preserve">Agrawal D.; Parwekar P.</t>
  </si>
  <si>
    <t xml:space="preserve">10.1007/978-3-032-20318-2_14</t>
  </si>
  <si>
    <t xml:space="preserve">A Review on AI-Based Cyber Threat Detection in Internet of Medical Things (Io-MT) Networks</t>
  </si>
  <si>
    <t xml:space="preserve">Kumari K.; Kumar R.; Atif M.; Sharma H.</t>
  </si>
  <si>
    <t xml:space="preserve">2026 2nd International Conference on Computing, Sciences and Communications, ICCSC 2026</t>
  </si>
  <si>
    <t xml:space="preserve">10.1109/ICCSC67078.2026.11468729</t>
  </si>
  <si>
    <t xml:space="preserve">Machine Learning-Driven Cross-Layer IDS Architecture for Next-Generation IoT Networks</t>
  </si>
  <si>
    <t xml:space="preserve">Aluri Y.K.; Tamilselvan S.</t>
  </si>
  <si>
    <t xml:space="preserve">International Journal of Innovative Technology and Interdisciplinary Sciences</t>
  </si>
  <si>
    <t xml:space="preserve">10.15157/IJITIS.2025.8.3.707-733</t>
  </si>
  <si>
    <t xml:space="preserve">Explainable AI Models for Insider Threat Detection in Smart Healthcare Systems</t>
  </si>
  <si>
    <t xml:space="preserve">Telrandhe A.V.; Puri C.; Nishane D.; Katade R.</t>
  </si>
  <si>
    <t xml:space="preserve">10.1109/ICAUC68182.2026.11441146</t>
  </si>
  <si>
    <t xml:space="preserve">A privacy preserving and trustworthy hybrid deep learning model for zero-day DDoS detection in healthcare industry 5.0</t>
  </si>
  <si>
    <t xml:space="preserve">Ali A.; Khan M.F.; Azim N.; Aadil F.</t>
  </si>
  <si>
    <t xml:space="preserve">Cluster Computing</t>
  </si>
  <si>
    <t xml:space="preserve">10.1007/s10586-026-06463-5</t>
  </si>
  <si>
    <t xml:space="preserve">Cyber Threat Analysis using Machine Learning for Proactive Mitigation: A Comprehensive Review</t>
  </si>
  <si>
    <t xml:space="preserve">Jain A.R.; Agrawal A.</t>
  </si>
  <si>
    <t xml:space="preserve">Leveraging Artificial Intelligence and Machine Learning Techniques for Proactive Threat Detection, Anomaly Prediction, and Adaptive Defense Mechanisms in Cybersecurity Frameworks</t>
  </si>
  <si>
    <t xml:space="preserve">Patidar G.; Pandey A.; Safdari A.; Kumar S.; Tiwari A.; Ranjan N.</t>
  </si>
  <si>
    <t xml:space="preserve">Proceeding - 2026 IEEE 6th International Conference on Computing, Power, and Communication Technologies, IC2PCT 2026</t>
  </si>
  <si>
    <t xml:space="preserve">10.1109/IC2PCT68894.2026.11584446</t>
  </si>
  <si>
    <t xml:space="preserve">Machine Learning-Augmented Intrusion Detection System for Zero-Day Attack Identification in Computer Networks</t>
  </si>
  <si>
    <t xml:space="preserve">Sai A.; Chaitanya K.D.; Rajeswari K.N.</t>
  </si>
  <si>
    <t xml:space="preserve">2026 IEEE 2nd International Conference on Quantum Photonics, Artificial Intelligence and Networking, QPAIN 2026</t>
  </si>
  <si>
    <t xml:space="preserve">10.1109/QPAIN69676.2026.11546642</t>
  </si>
  <si>
    <t xml:space="preserve">Q-Mask: Quantized Masking for Practical Secure Aggregation in Federated Intrusion Detection on IoT</t>
  </si>
  <si>
    <t xml:space="preserve">Arikaran N.; Gayathri G.; Jaya Priyam K.; Shreevardhini S.; Ranjith D.; Ranjith R.</t>
  </si>
  <si>
    <t xml:space="preserve">2026 International Conference on System, Computation, Automation and Networking, ICSCAN 2026</t>
  </si>
  <si>
    <t xml:space="preserve">10.1109/ICSCAN66520.2026.11588498</t>
  </si>
  <si>
    <t xml:space="preserve">A Federated and Explainable Machine Learning Framework for Robust Intrusion Detection and Network Security Enhancement in Industrial Internet of Things (IIoT) Environments</t>
  </si>
  <si>
    <t xml:space="preserve">Akand A.R.; Nipu M.M.H.B.; Das I.; Ali G.; Hossain A.; Faisal F.S.</t>
  </si>
  <si>
    <t xml:space="preserve">10.1109/ICECTE69292.2026.11429379</t>
  </si>
  <si>
    <t xml:space="preserve">FedGuard-IIoT: A Scalable Federated Learning Architecture for Network-IDS in the Industrial IoT</t>
  </si>
  <si>
    <t xml:space="preserve">Narkedimilli S.; Makam S.; Sathish T.; Jindal A.; Dewangan N.K.; Mallellu S.P.</t>
  </si>
  <si>
    <t xml:space="preserve">10.1109/GCWkshps68340.2025.11591099</t>
  </si>
  <si>
    <t xml:space="preserve">A Federated Intrusion Response Network for Grids</t>
  </si>
  <si>
    <t xml:space="preserve">Blakely B.; Purohit S.; Ogbuefi K.; Prieto I.; Govindarasu M.</t>
  </si>
  <si>
    <t xml:space="preserve">IECON Proceedings (Industrial Electronics Conference)</t>
  </si>
  <si>
    <t xml:space="preserve">10.1109/IECON55916.2024.10905821</t>
  </si>
  <si>
    <t xml:space="preserve">Cybersecurity Threat Landscape in Intelligent Transportation Systems: A Systematic Review</t>
  </si>
  <si>
    <t xml:space="preserve">Vashisth A.; Kaur G.; Sharma A.; Kaur B.; Rakhra M.</t>
  </si>
  <si>
    <t xml:space="preserve">10.1109/ICISESSC68634.2026.11542737</t>
  </si>
  <si>
    <t xml:space="preserve">Explainable Federated Learning for IoMT Intrusion Detection: A Dual-XAI Framework</t>
  </si>
  <si>
    <t xml:space="preserve">Misbah A.; Sebbar A.; Hafidi I.</t>
  </si>
  <si>
    <t xml:space="preserve">10.22266/ijies2026.0430.69</t>
  </si>
  <si>
    <t xml:space="preserve">Lightweight and Energy-Aware Intrusion Detection for Industrial IoT Using TinyML and Edge AI</t>
  </si>
  <si>
    <t xml:space="preserve">Nassef L.; Alghamdi M.I.; CHAABANE S.B.E.N.; Abbas Q.; Alawad W.M.; Albalawi O.H.; Alqaisi O.I.; Fakieh B.</t>
  </si>
  <si>
    <t xml:space="preserve">10.1038/s41598-026-50690-0</t>
  </si>
  <si>
    <t xml:space="preserve">Performance Comparison of Hybrid Intrusion Detection Approaches in IoT Systems</t>
  </si>
  <si>
    <t xml:space="preserve">2026 9th International Conference on Intelligent Computing and Control Systems, ICICCS 2026</t>
  </si>
  <si>
    <t xml:space="preserve">10.1109/ICICCS67901.2026.11502907</t>
  </si>
  <si>
    <t xml:space="preserve">Federated Learning for Privacy-Preserving Threat Intelligence in Cybersecurity</t>
  </si>
  <si>
    <t xml:space="preserve">Saxena N.</t>
  </si>
  <si>
    <t xml:space="preserve">10.1007/978-3-032-25631-7_16</t>
  </si>
  <si>
    <t xml:space="preserve">Position/discussion paper without experimental evaluation of a detector</t>
  </si>
  <si>
    <t xml:space="preserve">Co-Creation by Human–AI Sophimatics Framework and Applications</t>
  </si>
  <si>
    <t xml:space="preserve">Iovane G.; Iovane G.</t>
  </si>
  <si>
    <t xml:space="preserve">Algorithms</t>
  </si>
  <si>
    <t xml:space="preserve">10.3390/a19030175</t>
  </si>
  <si>
    <t xml:space="preserve">Human-AI co-creation framework, not intrusion detection</t>
  </si>
  <si>
    <t xml:space="preserve">Powering the 6G and Beyond Wireless Era: AI and Deep Learning Innovations</t>
  </si>
  <si>
    <t xml:space="preserve">Umar U.; Waseem A.; Naveed A.; Irfan M.; Munir F.; Ayub S.; Roslee M.B.</t>
  </si>
  <si>
    <t xml:space="preserve">International Conference on Engineering and Emerging Technologies, ICEET</t>
  </si>
  <si>
    <t xml:space="preserve">10.1109/ICEET67911.2025.11424121</t>
  </si>
  <si>
    <t xml:space="preserve">FLEX-IDS: A secure and explainable federated intrusion detection framework for Edge-of-Things environments under adversarial conditions</t>
  </si>
  <si>
    <t xml:space="preserve">Chowdhury A.P.; Nur F.N.; Islam A.H.M.S.; Alam K.; Karim A.; Shah M.A.</t>
  </si>
  <si>
    <t xml:space="preserve">Computers and Electrical Engineering</t>
  </si>
  <si>
    <t xml:space="preserve">10.1016/j.compeleceng.2025.110827</t>
  </si>
  <si>
    <t xml:space="preserve">Secure and Intelligent Intrusion Detection Approaches for Internet of Vehicles</t>
  </si>
  <si>
    <t xml:space="preserve">Negi M.; Agrawal A.K.; Shukla A.; Chandra P.K.</t>
  </si>
  <si>
    <t xml:space="preserve">ESIC 2026 Proceedings - 6th International Conference on Emerging Systems and Intelligent Computing</t>
  </si>
  <si>
    <t xml:space="preserve">10.1109/ESIC68176.2026.11495792</t>
  </si>
  <si>
    <t xml:space="preserve">SAFORI-IDS: Semantic-Aware Federated Intrusion Detection for IoT-Enabled 6G Metaverse Infrastructure</t>
  </si>
  <si>
    <t xml:space="preserve">Basheer S.; Aldehim G.; Alluhaidan A.S.; Sakri S.</t>
  </si>
  <si>
    <t xml:space="preserve">10.1002/ett.70479</t>
  </si>
  <si>
    <t xml:space="preserve">AI-Powered Cybersecurity: A Technical Review of Intrusion Detection Models, Tools, and Metrics</t>
  </si>
  <si>
    <t xml:space="preserve">Badawy W.</t>
  </si>
  <si>
    <t xml:space="preserve">2025 International Telecommunications Conference, ITC-Egypt 2025</t>
  </si>
  <si>
    <t xml:space="preserve">10.1109/ITC-Egypt66095.2025.11186688</t>
  </si>
  <si>
    <t xml:space="preserve">Trustworthy Generative Few-Shot Learning-Based Intrusion Detection Method in Internet of Things</t>
  </si>
  <si>
    <t xml:space="preserve">Zhang Z.; Wang P.; Zhang T.; Liu M.; Zhou X.</t>
  </si>
  <si>
    <t xml:space="preserve">10.1109/TCE.2024.3473304</t>
  </si>
  <si>
    <t xml:space="preserve">A Survey on Cybersecurity for Smart Agricultural IoT: Challenges, Defences, and Edge Anomaly Detection</t>
  </si>
  <si>
    <t xml:space="preserve">Boukhali Y.; Dragusin S.-A.; Bizon N.; Kabbaj M.N.; Benbrahim M.</t>
  </si>
  <si>
    <t xml:space="preserve">Proceedings of the 18th International Conference on Electronics, Computers and Artificial Intelligence, ECAI 2026</t>
  </si>
  <si>
    <t xml:space="preserve">10.1109/ECAI69016.2026.11613641</t>
  </si>
  <si>
    <t xml:space="preserve">Federated learning and explainable AI-driven intrusion detection with hyperband optimization</t>
  </si>
  <si>
    <t xml:space="preserve">Harshitha C.; Sendil Vadivu D.; Rajagopalan N.</t>
  </si>
  <si>
    <t xml:space="preserve">10.1007/s11416-025-00571-3</t>
  </si>
  <si>
    <t xml:space="preserve">Privacy-preserving intrusion detection in mobile edge networks via federated adaptive probabilistic stacking with clan–flock optimisation and explainable AI</t>
  </si>
  <si>
    <t xml:space="preserve">Joshitha N.; Deepanramkumar P.; Helen Sharmila A.</t>
  </si>
  <si>
    <t xml:space="preserve">10.1038/s41598-026-66846-x</t>
  </si>
  <si>
    <t xml:space="preserve">Leveraging AI for Cyber Threat Defence</t>
  </si>
  <si>
    <t xml:space="preserve">Shrusti M.; Soniya N.; Priyadarshini K.S.; Kanchana P.; Raj K.K.M.</t>
  </si>
  <si>
    <t xml:space="preserve">3rd International Conference on Recent Advances in Information Technology for Sustainable Development, ICRAIS 2025 - Proceedings</t>
  </si>
  <si>
    <t xml:space="preserve">10.1109/ICRAIS66073.2025.11234727</t>
  </si>
  <si>
    <t xml:space="preserve">Role of Explainable Artificial Intelligence Approaches in Cybersecurity</t>
  </si>
  <si>
    <t xml:space="preserve">Bawane N.; Nandan D.</t>
  </si>
  <si>
    <t xml:space="preserve">10.1007/978-981-97-4359-9_22</t>
  </si>
  <si>
    <t xml:space="preserve">Trusted Encrypted Traffic Intrusion Detection Method Based on Federated Learning and Autoencoder</t>
  </si>
  <si>
    <t xml:space="preserve">Wang Z.; Miao C.; Xu Y.; Li Z.; Sun Z.; Wang P.</t>
  </si>
  <si>
    <t xml:space="preserve">China Communications</t>
  </si>
  <si>
    <t xml:space="preserve">10.23919/JCC.ja.2022-0392</t>
  </si>
  <si>
    <t xml:space="preserve">Intrusion Detection and Prevention in MQTT-Based IoT Networks: A Comprehensive Review</t>
  </si>
  <si>
    <t xml:space="preserve">Isha; Batra I.</t>
  </si>
  <si>
    <t xml:space="preserve">International Conference on Intelligent and Innovative Practices in Engineering and Management, IIPEM 2025</t>
  </si>
  <si>
    <t xml:space="preserve">10.1109/IIPEM65914.2025.11548093</t>
  </si>
  <si>
    <t xml:space="preserve">Autonomous intrusion detection for IoT: a decentralized and privacy preserving approach</t>
  </si>
  <si>
    <t xml:space="preserve">Holubenko V.; Gaspar D.; Leal R.; Silva P.</t>
  </si>
  <si>
    <t xml:space="preserve">International Journal of Information Security</t>
  </si>
  <si>
    <t xml:space="preserve">10.1007/s10207-024-00926-9</t>
  </si>
  <si>
    <t xml:space="preserve">Advancing Intrusion Detection Systems for IoT: Techniques, Challenges, and Future Directions</t>
  </si>
  <si>
    <t xml:space="preserve">Saxena A.; Nandanwar H.; Katarya R.</t>
  </si>
  <si>
    <t xml:space="preserve">4th IEEE International Conference on Distributed Computing and Electrical Circuits and Electronics, ICDCECE 2025</t>
  </si>
  <si>
    <t xml:space="preserve">10.1109/ICDCECE65353.2025.11035747</t>
  </si>
  <si>
    <t xml:space="preserve">IEEE Xplore</t>
  </si>
  <si>
    <t xml:space="preserve">Federated Learning-Based Counterfactual Explanations for Resolving the Privacy-Explainability Dilemma in IoT Intrusion Detection</t>
  </si>
  <si>
    <t xml:space="preserve">S. Kaya</t>
  </si>
  <si>
    <t xml:space="preserve">2026 34th Signal Processing and Communications Applications Conference (SIU)</t>
  </si>
  <si>
    <t xml:space="preserve">IEEE Conferences</t>
  </si>
  <si>
    <t xml:space="preserve">10.1109/SIU71813.2026.11636543</t>
  </si>
  <si>
    <t xml:space="preserve">Federated Hierarchical Attention Transformer with Adaptive SHAP Explainability for Privacy-Preserving Zero-Day Cyber Threat Detection</t>
  </si>
  <si>
    <t xml:space="preserve">S. P. Anand; R. Rajshree; M. S. Kavitha; M. Ramya; K. T; N. Sivanthamally</t>
  </si>
  <si>
    <t xml:space="preserve">2026 7th International Conference On Computational Vision and Bio Inspired Computing (ICCVBIC)</t>
  </si>
  <si>
    <t xml:space="preserve">10.1109/ICCVBIC71195.2026.11688416</t>
  </si>
  <si>
    <t xml:space="preserve">Federated and Explainable Intrusion Detection Framework for Wireless Sensor Networks: A Comprehensive Analysis</t>
  </si>
  <si>
    <t xml:space="preserve">V. Hemalatha; S. Pushpalatha</t>
  </si>
  <si>
    <t xml:space="preserve">2026 International Conference on Trends in Quantum Computing and Emerging Business Technologies (TQCEBT)</t>
  </si>
  <si>
    <t xml:space="preserve">10.1109/TQCEBT67648.2026.11681245</t>
  </si>
  <si>
    <t xml:space="preserve">Federated Learning-Driven Decentralized Intelligence for Explainable Anomaly Detection in Industrial Operations</t>
  </si>
  <si>
    <t xml:space="preserve">P. Marry; Y. Mounika; S. Nanditha; R. Shiva; R. Saikishore</t>
  </si>
  <si>
    <t xml:space="preserve">2024 2nd International Conference on Sustainable Computing and Smart Systems (ICSCSS)</t>
  </si>
  <si>
    <t xml:space="preserve">10.1109/ICSCSS60660.2024.10625289</t>
  </si>
  <si>
    <t xml:space="preserve">PrivGuardNet: A Federated Transformer-based Intrusion Detection System with Differential Privacy for Scalable Cybersecurity Defense</t>
  </si>
  <si>
    <t xml:space="preserve">S. TR; T. Meshach W; P. Jayasree; P. Poonkuzhali; V. Sathya; S. I. A. Lathif</t>
  </si>
  <si>
    <t xml:space="preserve">2025 8th International Conference on Computing Methodologies and Communication (ICCMC)</t>
  </si>
  <si>
    <t xml:space="preserve">10.1109/ICCMC65190.2025.11140617</t>
  </si>
  <si>
    <t xml:space="preserve">E5</t>
  </si>
  <si>
    <t xml:space="preserve">Neither explanations nor ontology/knowledge graph used</t>
  </si>
  <si>
    <t xml:space="preserve">XAI-IoTIDS: An Explainable Adaptive Intrusion Detection Framework for Secure IoT Networks using Bayesian-Optimized XGBoost</t>
  </si>
  <si>
    <t xml:space="preserve">Madhanraj; K. P. Uvarajan</t>
  </si>
  <si>
    <t xml:space="preserve">2026 7th International Conference on Electronics and Sustainable Communication Systems (ICESC)</t>
  </si>
  <si>
    <t xml:space="preserve">10.1109/ICESC70182.2026.11687066</t>
  </si>
  <si>
    <t xml:space="preserve">Energy-Aware Client Participation for Federated Intrusion Detection in IoT Networks</t>
  </si>
  <si>
    <t xml:space="preserve">M. Udurume; V. Shakhov; I. Koo</t>
  </si>
  <si>
    <t xml:space="preserve">2026 International Conference on Artificial Intelligence in Information and Communication (ICAIIC)</t>
  </si>
  <si>
    <t xml:space="preserve">10.1109/ICAIIC68212.2026.11454339</t>
  </si>
  <si>
    <t xml:space="preserve">Explainable AI-Driven Network Intrusion Detection for Real-Time IoT and Industrial Systems</t>
  </si>
  <si>
    <t xml:space="preserve">V. R. Balaa; T. R. Malagi; G. H. Kumar; D. K. J. Bahadur Saini</t>
  </si>
  <si>
    <t xml:space="preserve">2026 2nd International Conference on Intelligent Systems and Computational Networks (ICISCN)</t>
  </si>
  <si>
    <t xml:space="preserve">10.1109/ICISCN67954.2026.11566326</t>
  </si>
  <si>
    <t xml:space="preserve">Explainable AI-Driven Intrusion Detection for IoT: A Hybrid Framework with Federated and Quantum Extensions</t>
  </si>
  <si>
    <t xml:space="preserve">S. Khattar; V. Vivek; T. Verma</t>
  </si>
  <si>
    <t xml:space="preserve">2026 Eight International Conference on Computational Intelligence and Communication Technologies (CCICT)</t>
  </si>
  <si>
    <t xml:space="preserve">Additional Conference Content Conferences</t>
  </si>
  <si>
    <t xml:space="preserve">10.23919/CCICTCPS00010.2026.00075</t>
  </si>
  <si>
    <t xml:space="preserve">Real-Time Intrusion Detection System for Wi-Fi-Based Wireless Sensor Networks using Deep Learning and Explainable AI</t>
  </si>
  <si>
    <t xml:space="preserve">S. Thiruvenkatasamy; V. Boobalan; L. Gokul; V. Keerthi; S. Logeshwaran</t>
  </si>
  <si>
    <t xml:space="preserve">2025 10th International Conference on Smart Structures and Systems (ICSSS)</t>
  </si>
  <si>
    <t xml:space="preserve">10.1109/ICSSS66939.2025.11346435</t>
  </si>
  <si>
    <t xml:space="preserve">FBZX: A Novel Explainable AI based Security Model for IoT Healthcare Systems</t>
  </si>
  <si>
    <t xml:space="preserve">Y. Sowjanya; S. Gopalakrishnan; R. D. Kumar</t>
  </si>
  <si>
    <t xml:space="preserve">2025 Third International Conference on Augmented Intelligence and Sustainable Systems (ICAISS)</t>
  </si>
  <si>
    <t xml:space="preserve">10.1109/ICAISS61471.2025.11042096</t>
  </si>
  <si>
    <t xml:space="preserve">Trustworthy AI for Intrusion Detection Systems: A Comprehensive Survey of Explainability, Robustness, and Privacy</t>
  </si>
  <si>
    <t xml:space="preserve">Ayesha; B. Sathvik; D. K. J. B. Saini; G. H. Kumar</t>
  </si>
  <si>
    <t xml:space="preserve">2026 International Conference on Data Science for Cyber-Physical Systems Resilience using Advanced Applications (ICDCA)</t>
  </si>
  <si>
    <t xml:space="preserve">10.1109/ICDCA69396.2026.11620590</t>
  </si>
  <si>
    <t xml:space="preserve">EI-XIDS: An explainable intrusion detection system based on integration framework</t>
  </si>
  <si>
    <t xml:space="preserve">Y. Xu; C. Li; K. Zhang; H. Xia; B. Tu</t>
  </si>
  <si>
    <t xml:space="preserve">2024 27th International Conference on Computer Supported Cooperative Work in Design (CSCWD)</t>
  </si>
  <si>
    <t xml:space="preserve">10.1109/CSCWD61410.2024.10580846</t>
  </si>
  <si>
    <t xml:space="preserve">A Survey on Explainable Artificial Intelligence for Vehicle-to-Everything Communication Networks</t>
  </si>
  <si>
    <t xml:space="preserve">S. Wee; H. Park; S. Song; L. Park</t>
  </si>
  <si>
    <t xml:space="preserve">2026 Seventeenth International Conference on Ubiquitous and Future Networks (ICUFN)</t>
  </si>
  <si>
    <t xml:space="preserve">10.1109/ICUFN69619.2026.11628602</t>
  </si>
  <si>
    <t xml:space="preserve">Explainable AI-Driven Intrusion Detection System Using Hybrid Deep Learning Models for Secure Network Infrastructure</t>
  </si>
  <si>
    <t xml:space="preserve">K. Sathish; M. R. Prabhu; V. S. Kumar; S. D. Raj</t>
  </si>
  <si>
    <t xml:space="preserve">2026 5th International Conference on Communication, Computing and Electronics Systems (ICCCES)</t>
  </si>
  <si>
    <t xml:space="preserve">10.1109/ICCCES62661.2026.11436592</t>
  </si>
  <si>
    <t xml:space="preserve">A Distributed Intrusion Detection System based on Blockchain and Federated Learning</t>
  </si>
  <si>
    <t xml:space="preserve">Dagula; L. Xu; K. Gai; L. Zhu</t>
  </si>
  <si>
    <t xml:space="preserve">2025 IEEE 11th Conference on Big Data Security on Cloud (BigDataSecurity)</t>
  </si>
  <si>
    <t xml:space="preserve">10.1109/BigDataSecurity66063.2025.00027</t>
  </si>
  <si>
    <t xml:space="preserve">FedXAI for Detecting DDoS on IoT Edge Networks in Federated Learning</t>
  </si>
  <si>
    <t xml:space="preserve">A. Asiri; W. Wang; F. Wu; H. Vo; S. Yu</t>
  </si>
  <si>
    <t xml:space="preserve">2024 34th International Telecommunication Networks and Applications Conference (ITNAC)</t>
  </si>
  <si>
    <t xml:space="preserve">10.1109/ITNAC62915.2024.10815590</t>
  </si>
  <si>
    <t xml:space="preserve">Federated Learning for Intrusion Detection in IoT Networks: A Comprehensive Review</t>
  </si>
  <si>
    <t xml:space="preserve">D. Sharma; J. Singh; P. Bhambri</t>
  </si>
  <si>
    <t xml:space="preserve">2025 2nd International Conference on Electronic Circuits and Signaling Technologies (ICECST)</t>
  </si>
  <si>
    <t xml:space="preserve">10.1109/ICECST66106.2025.11307398</t>
  </si>
  <si>
    <t xml:space="preserve">SHERPA: Explainable Robust Algorithms for Privacy-Preserved Federated Learning in Future Networks to Defend Against Data Poisoning Attacks</t>
  </si>
  <si>
    <t xml:space="preserve">C. Sandeepa; B. Siniarski; S. Wang; M. Liyanage</t>
  </si>
  <si>
    <t xml:space="preserve">2024 IEEE Symposium on Security and Privacy (SP)</t>
  </si>
  <si>
    <t xml:space="preserve">10.1109/SP54263.2024.00271</t>
  </si>
  <si>
    <t xml:space="preserve">Enhancing Intrusion Detection in Cyber-Physical Systems: A Hybrid Graph Neural Network and Explainable AI Approach for Classification</t>
  </si>
  <si>
    <t xml:space="preserve">D. C. Nijhum; F. B. F. Ananna; M. H. Hosen; M. H. Khan; M. N. Uddin</t>
  </si>
  <si>
    <t xml:space="preserve">2025 IEEE 2nd International Conference on Computing, Applications and Systems (COMPAS)</t>
  </si>
  <si>
    <t xml:space="preserve">10.1109/COMPAS67506.2025.11381890</t>
  </si>
  <si>
    <t xml:space="preserve">An Explainable Bi-LSTM-based Intrusion Detection System with Hybrid Feature Selection for NSL-KDD Dataset Analysis</t>
  </si>
  <si>
    <t xml:space="preserve">Upendra; R. Tripathi; T. P. Sahu; R. Kumar</t>
  </si>
  <si>
    <t xml:space="preserve">2026 IEEE Guwahati Subsection Conference (GCON)</t>
  </si>
  <si>
    <t xml:space="preserve">10.1109/GCON69192.2026.11648935</t>
  </si>
  <si>
    <t xml:space="preserve">Federated Generative Intelligence for Explainable and Autonomous Cyber Defence in Critical Infrastructures</t>
  </si>
  <si>
    <t xml:space="preserve">Atul; B. A. Mohammed; V. Shukla; V. Shukla; M. K. Das; D. Mishra</t>
  </si>
  <si>
    <t xml:space="preserve">2025 2nd International Conference on Intelligent Systems for Cybersecurity (ISCS)</t>
  </si>
  <si>
    <t xml:space="preserve">10.1109/ISCS69371.2025.11386415</t>
  </si>
  <si>
    <t xml:space="preserve">Beyond the Black Box: A Framework for Explainable and Attack-Resilient Federated Anomaly Detection in IIoT</t>
  </si>
  <si>
    <t xml:space="preserve">A. Pinto; Y. Donoso; J. A. Gutierrez</t>
  </si>
  <si>
    <t xml:space="preserve">2025 IEEE 35th International Telecommunication Networks and Applications Conference (ITNAC)</t>
  </si>
  <si>
    <t xml:space="preserve">10.1109/ITNAC66378.2025.11302547</t>
  </si>
  <si>
    <t xml:space="preserve">Adaptive Explainable Federated Learning Framework for Privacy-Preserving IoT Intrusion Detection in Smart Cities</t>
  </si>
  <si>
    <t xml:space="preserve">A. T. S; S. R. R. Thavasimuthu; G. Kanmani; R. S. Krishnan; S. Murugeswari; G. R. Sankar</t>
  </si>
  <si>
    <t xml:space="preserve">2026 International Conference on Modern Sustainable Systems (CMSS)</t>
  </si>
  <si>
    <t xml:space="preserve">10.1109/CMSS69636.2026.11688593</t>
  </si>
  <si>
    <t xml:space="preserve">Federated Edge Intelligence for Low-Latency Intrusion Detection in Smart Homes</t>
  </si>
  <si>
    <t xml:space="preserve">O. V. Koc; K. K. Sharma; S. Y. Reddy</t>
  </si>
  <si>
    <t xml:space="preserve">2025 9th International Conference on Man-Machine Systems (ICoMMS)</t>
  </si>
  <si>
    <t xml:space="preserve">10.1109/ICoMMS66553.2025.11200237</t>
  </si>
  <si>
    <t xml:space="preserve">XAINTRUDER: An Explainable Deep Neural Network–Based Intrusion Detection System for Real-Time Cyber Threats</t>
  </si>
  <si>
    <t xml:space="preserve">G.V.Rasmika; C.S.Madhumathi; L.Srinivasan; R.T.Suganya; T.Savithadevi</t>
  </si>
  <si>
    <t xml:space="preserve">2025 2nd International Conference on Recent Trends in Electrical, Electronics and Computing Technologies (ICRTEECT)</t>
  </si>
  <si>
    <t xml:space="preserve">10.1109/ICRTEECT67512.2025.11448726</t>
  </si>
  <si>
    <t xml:space="preserve">APEX-IDS: Advanced Performance Excellence IoT Detection System Using Deep Learning and Explainable AI</t>
  </si>
  <si>
    <t xml:space="preserve">M. Mohamed; S. M. Ibrahim; A. A. Abohany; M. Mahmoud</t>
  </si>
  <si>
    <t xml:space="preserve">2025 35th International Conference on Computer Theory and Applications (ICCTA)</t>
  </si>
  <si>
    <t xml:space="preserve">10.1109/ICCTA68914.2025.11519900</t>
  </si>
  <si>
    <t xml:space="preserve">Secure and Explainable Federated Learning for IoT Intrusion Detection: A Comprehensive Survey</t>
  </si>
  <si>
    <t xml:space="preserve">M. A. Bilal; I. U. Islam; M. J. Khan; S. Nisar; M. Farooq; H. Khan</t>
  </si>
  <si>
    <t xml:space="preserve">IEEE Journals</t>
  </si>
  <si>
    <t xml:space="preserve">10.1109/OJCOMS.2026.3681580</t>
  </si>
  <si>
    <t xml:space="preserve">Explainable Artificial Intelligence Model for Secure Blockchain-Based Cyber-Physical Industrial Systems</t>
  </si>
  <si>
    <t xml:space="preserve">M. I. Ali; A. Momen</t>
  </si>
  <si>
    <t xml:space="preserve">2025 International Conference on Intelligent Innovations in Engineering and Technology (ICIIET)</t>
  </si>
  <si>
    <t xml:space="preserve">10.1109/ICIIET65921.2025.11379018</t>
  </si>
  <si>
    <t xml:space="preserve">XAI-based Customer Behavior Analysis for Network Intrusion Detection in Edge Intelligence</t>
  </si>
  <si>
    <t xml:space="preserve">X. Wu; C. Liu; W. Lin</t>
  </si>
  <si>
    <t xml:space="preserve">2025 IEEE Cyber Science and Technology Congress (CyberSciTech)</t>
  </si>
  <si>
    <t xml:space="preserve">10.1109/CyberSciTech68397.2025.00019</t>
  </si>
  <si>
    <t xml:space="preserve">A Stacking Enriched Explainable Machine Learning Approach for Multiclass DoS Attack and Network Intrusion Prediction</t>
  </si>
  <si>
    <t xml:space="preserve">M. Tabassum; U. S. Tonny; S. Anzum; K. Ashraf; P. Sen; M. Chowdhury</t>
  </si>
  <si>
    <t xml:space="preserve">2026 9th International Conference on Circuit, Power &amp; Computing Technologies (ICCPCT)</t>
  </si>
  <si>
    <t xml:space="preserve">10.1109/ICCPCT70290.2026.11654841</t>
  </si>
  <si>
    <t xml:space="preserve">IP2FL: Interpretation-Based Privacy-Preserving Federated Learning for Industrial Cyber-Physical Systems</t>
  </si>
  <si>
    <t xml:space="preserve">D. Namakshenas; A. Yazdinejad; A. Dehghantanha; R. M. Parizi; G. Srivastava</t>
  </si>
  <si>
    <t xml:space="preserve">IEEE Transactions on Industrial Cyber-Physical Systems</t>
  </si>
  <si>
    <t xml:space="preserve">10.1109/TICPS.2024.3435178</t>
  </si>
  <si>
    <t xml:space="preserve">Insider Threat Detection System with Federated Learning and Differential Privacy</t>
  </si>
  <si>
    <t xml:space="preserve">J. J. Godson Samuel; V. Balasubramaniya; G. G. Kumar; R. Geetha; R. Shobana</t>
  </si>
  <si>
    <t xml:space="preserve">2026 International Conference on Intelligent Computing, Networks, and Security (IC-ICNS)</t>
  </si>
  <si>
    <t xml:space="preserve">10.1109/IC-ICNS68863.2026.11537834</t>
  </si>
  <si>
    <t xml:space="preserve">Explainable AI-Driven Intrusion Detection System for DoS Attack Classification Using Deep Learning and Optimization Techniques</t>
  </si>
  <si>
    <t xml:space="preserve">S. Ghosh; R. Kumar Goyal; K. Chowdhury</t>
  </si>
  <si>
    <t xml:space="preserve">10.1109/ACCESS.2026.3651187</t>
  </si>
  <si>
    <t xml:space="preserve">Adaptive Explainable AI for Cybersecurity in IoT Based Smart Transportation Using Deep Learning</t>
  </si>
  <si>
    <t xml:space="preserve">V. G; B. S; S. T; V. S; P. D; M. N</t>
  </si>
  <si>
    <t xml:space="preserve">2026 Third International Conference on Innovations in Cybersecurity and Data Science (ICICDS)</t>
  </si>
  <si>
    <t xml:space="preserve">10.1109/ICICDS70526.2026.11604684</t>
  </si>
  <si>
    <t xml:space="preserve">AI-Powered Intrusion Detection for Secure and Efficient SDN in Network Virtualization</t>
  </si>
  <si>
    <t xml:space="preserve">A. Gaurav; B. B. Gupta; P. Chaurasia; V. Arya; R. W. Attar; K. T. Chui</t>
  </si>
  <si>
    <t xml:space="preserve">2025 IEEE 26th International Conference on High Performance Switching and Routing (HPSR)</t>
  </si>
  <si>
    <t xml:space="preserve">10.1109/HPSR64165.2025.11038896</t>
  </si>
  <si>
    <t xml:space="preserve">Privacy-Preserving AI for Insider Threat Detection: A Federated Graph Learning Approach Using Behavioral Analytics</t>
  </si>
  <si>
    <t xml:space="preserve">A. Rakshan; F. J. George; A. I. V</t>
  </si>
  <si>
    <t xml:space="preserve">10.1109/ICCVBIC71195.2026.11688406</t>
  </si>
  <si>
    <t xml:space="preserve">Modeling of Relational Patterns of Network Traffic using Graph Attention Networks and Federated Learning</t>
  </si>
  <si>
    <t xml:space="preserve">D. J. Tillu; R. Jayadevan; P. Nagale</t>
  </si>
  <si>
    <t xml:space="preserve">2026 IEEE 1st International Conference on Instrumentation (INSTCon)</t>
  </si>
  <si>
    <t xml:space="preserve">10.1109/INSTCon69741.2026.11691748</t>
  </si>
  <si>
    <t xml:space="preserve">Transparent and Decentralized Cyber Defense for Medical IoT: The X-FedIoMT Framework</t>
  </si>
  <si>
    <t xml:space="preserve">S. J. Khan; N. Javed; M. Malik; N. Javed; M. Iqbal</t>
  </si>
  <si>
    <t xml:space="preserve">2026 5th International Conference on Artificial Intelligence, Internet of Things and Cloud Computing Technology (AIoTC)</t>
  </si>
  <si>
    <t xml:space="preserve">10.1109/AIoTC71250.2026.11688621</t>
  </si>
  <si>
    <t xml:space="preserve">A Framework for Teaching 5G/6G Security with Explainable AI</t>
  </si>
  <si>
    <t xml:space="preserve">E. Konstantopoulou; N. Sklavos</t>
  </si>
  <si>
    <t xml:space="preserve">2025 33rd Telecommunications Forum (TELFOR)</t>
  </si>
  <si>
    <t xml:space="preserve">10.1109/TELFOR67910.2025.11314333</t>
  </si>
  <si>
    <t xml:space="preserve">A Comprehensive Survey of Machine Learning Based Intrusion Detection Systems</t>
  </si>
  <si>
    <t xml:space="preserve">J. Gupta; H. Pal</t>
  </si>
  <si>
    <t xml:space="preserve">2025 International Conference on Emerging Engineering Technologies and Applications (IC-EETA)</t>
  </si>
  <si>
    <t xml:space="preserve">10.1109/IC-EETA66496.2025.11548473</t>
  </si>
  <si>
    <t xml:space="preserve">An Intelligent and Interpretable Intrusion Detection System for Unmanned Aerial Vehicles</t>
  </si>
  <si>
    <t xml:space="preserve">D. Javeed; T. Gao; P. Kumar; S. Shoukat; I. Ahmad; R. Kumar</t>
  </si>
  <si>
    <t xml:space="preserve">ICC 2024 - IEEE International Conference on Communications</t>
  </si>
  <si>
    <t xml:space="preserve">10.1109/ICC51166.2024.10622703</t>
  </si>
  <si>
    <t xml:space="preserve">Enhancing IoT Security Through a Zero Trust Hub with Explainable AI and Blockchain Support</t>
  </si>
  <si>
    <t xml:space="preserve">M. Pannu; R. Frank</t>
  </si>
  <si>
    <t xml:space="preserve">2026 IEEE Canadian Conference on Electrical and Computer Engineering (CCECE)</t>
  </si>
  <si>
    <t xml:space="preserve">10.1109/CCECE68150.2026.11610539</t>
  </si>
  <si>
    <t xml:space="preserve">AI-Based Intrusion Detection Systems for Securing Cloud-Native Enterprise Applications</t>
  </si>
  <si>
    <t xml:space="preserve">P. Maderamitla; H. Peddireddy; S. Makineni; M. Konakalla; A. Kumar Mishra; D. Kapila</t>
  </si>
  <si>
    <t xml:space="preserve">2026 Technology and Innovation Conference (TIC)</t>
  </si>
  <si>
    <t xml:space="preserve">10.1109/TIC68483.2026.11702921</t>
  </si>
  <si>
    <t xml:space="preserve">Slice-Specific Intrusion Detection Decision Support System in 5G Networks with Interpretable Ensemble Learning</t>
  </si>
  <si>
    <t xml:space="preserve">M. F. Johora; M. A. H. Rafi; M. B. Rasel; P. Bhowmik; M. D. Haque</t>
  </si>
  <si>
    <t xml:space="preserve">2025 IEEE International Conference on Signal Processing, Information, Communication and Systems (SPICSCON)</t>
  </si>
  <si>
    <t xml:space="preserve">10.1109/SPICSCON69221.2025.11503981</t>
  </si>
  <si>
    <t xml:space="preserve">IoT Security Enhancements in Smart Healthcare Using Federated Learning</t>
  </si>
  <si>
    <t xml:space="preserve">S. Lanka; T. Moodhitaporn</t>
  </si>
  <si>
    <t xml:space="preserve">2025 4th International Conference on Sentiment Analysis and Deep Learning (ICSADL)</t>
  </si>
  <si>
    <t xml:space="preserve">10.1109/ICSADL65848.2025.10933330</t>
  </si>
  <si>
    <t xml:space="preserve">Resource-Efficient Deep Neural Networks with Optimal Expressivity for Trustworthy and Sustainable Intrusion Detection in Next-Generation IoT Infrastructures</t>
  </si>
  <si>
    <t xml:space="preserve">L. S</t>
  </si>
  <si>
    <t xml:space="preserve">2026 8th International Conference on Inventive Material Science and Applications (ICIMA)</t>
  </si>
  <si>
    <t xml:space="preserve">10.1109/ICIMA68728.2026.11564077</t>
  </si>
  <si>
    <t xml:space="preserve">Leveraging Federated Learning and Variational Autoencoders for an Enhanced Anomaly Detection System</t>
  </si>
  <si>
    <t xml:space="preserve">B. Nugraha; K. Kota; T. Bauschert</t>
  </si>
  <si>
    <t xml:space="preserve">2024 IEEE 10th International Conference on Network Softwarization (NetSoft)</t>
  </si>
  <si>
    <t xml:space="preserve">10.1109/NetSoft60951.2024.10588934</t>
  </si>
  <si>
    <t xml:space="preserve">Reliable Secured Consumer IIoT Framework With Multi Layer Attack Interpretation and Prevention</t>
  </si>
  <si>
    <t xml:space="preserve">M. K. Nallakaruppan; R. K. Dhanaraj; S. Shukla; K. Subbaraj; S. Fuladi; S. Selvarajan; A. Alkhayyat; N. Alturki</t>
  </si>
  <si>
    <t xml:space="preserve">10.1109/TCE.2025.3571597</t>
  </si>
  <si>
    <t xml:space="preserve">A Comprehensive Survey of Explainable Artificial Intelligence Techniques for Malicious Insider Threat Detection</t>
  </si>
  <si>
    <t xml:space="preserve">K. Saeed Alketbi; A. Mehmood</t>
  </si>
  <si>
    <t xml:space="preserve">10.1109/ACCESS.2025.3587114</t>
  </si>
  <si>
    <t xml:space="preserve">A Survey on Explainable Artificial Intelligence for Cybersecurity</t>
  </si>
  <si>
    <t xml:space="preserve">G. Rjoub; J. Bentahar; O. Abdel Wahab; R. Mizouni; A. Song; R. Cohen; H. Otrok; A. Mourad</t>
  </si>
  <si>
    <t xml:space="preserve">IEEE Transactions on Network and Service Management</t>
  </si>
  <si>
    <t xml:space="preserve">10.1109/TNSM.2023.3282740</t>
  </si>
  <si>
    <t xml:space="preserve">Lightweight and Interpretable Deep Learning Architectures for Energy-Aware and Reliable Intrusion Detection in Future IoT Ecosystems</t>
  </si>
  <si>
    <t xml:space="preserve">H. S; T. S. Balakrishnan; M. Agoramoorthy</t>
  </si>
  <si>
    <t xml:space="preserve">2026 10th International Conference on Inventive Systems and Control (ICISC)</t>
  </si>
  <si>
    <t xml:space="preserve">10.1109/ICISC69558.2026.11681866</t>
  </si>
  <si>
    <t xml:space="preserve">Hybrid Intrusion Detection System for Network Security: Real-Time Signature and Machine Learning-Based Anomaly Detection</t>
  </si>
  <si>
    <t xml:space="preserve">C. Naik; K. J. Shettigar; P. Shetty; S. Hedge; R. Koti</t>
  </si>
  <si>
    <t xml:space="preserve">2025 IEEE 9th International Conference on Information and Communication Technology (CICT)</t>
  </si>
  <si>
    <t xml:space="preserve">10.1109/CICT67193.2025.11398856</t>
  </si>
  <si>
    <t xml:space="preserve">Real Time Malware Detection using Explainable AI and Deep Learning</t>
  </si>
  <si>
    <t xml:space="preserve">T. V.A; D. Narmadha; G. N. Sundar</t>
  </si>
  <si>
    <t xml:space="preserve">2026 International Conference on Smart Futuristic Technology</t>
  </si>
  <si>
    <t xml:space="preserve">10.1109/ICSFT66733.2026.11506656</t>
  </si>
  <si>
    <t xml:space="preserve">FALCON: Privacy-Preserving Federated Anomaly Detection and Collaborative Observation for Medical Imaging</t>
  </si>
  <si>
    <t xml:space="preserve">V. Kale; B. Mulik; M. Lad; J. Kore; B. Colaco</t>
  </si>
  <si>
    <t xml:space="preserve">2026 International Conference on Communication, Computing and Emerging Technologies (IC3ET)</t>
  </si>
  <si>
    <t xml:space="preserve">10.1109/IC3ET64989.2026.11467393</t>
  </si>
  <si>
    <t xml:space="preserve">Medical imaging anomaly detection, not intrusion detection</t>
  </si>
  <si>
    <t xml:space="preserve">A Comparative Review of Real-Time Intrusion Detection Systems for Sustainable and Connected Cyber Infrastructures</t>
  </si>
  <si>
    <t xml:space="preserve">E. I. Umoh; H. Bishara; Amrita; J. Jha</t>
  </si>
  <si>
    <t xml:space="preserve">2026 International Conference on Sustainable Engineering and Technology Innovations (ICSETI)</t>
  </si>
  <si>
    <t xml:space="preserve">10.1109/ICSETI67678.2026.11636596</t>
  </si>
  <si>
    <t xml:space="preserve">FedTinyX-IDS: Federated Explainable TinyML for Robust WSN Intrusion Detection</t>
  </si>
  <si>
    <t xml:space="preserve">K. Kulkarni; S. K. Muthuvel</t>
  </si>
  <si>
    <t xml:space="preserve">2026 International Conference on Intelligent and Sustainable Electronics &amp; Computing Technologies (INSECT)</t>
  </si>
  <si>
    <t xml:space="preserve">10.1109/INSECT68872.2026.11663803</t>
  </si>
  <si>
    <t xml:space="preserve">Mapping the Research Landscape of Large Language Models in Network Intrusion Detection</t>
  </si>
  <si>
    <t xml:space="preserve">R. Arslan; T. Özseven</t>
  </si>
  <si>
    <t xml:space="preserve">2026 2nd International Symposium on AI-Driven Engineering Systems (ISADES)</t>
  </si>
  <si>
    <t xml:space="preserve">10.1109/ISADES69945.2026.11608180</t>
  </si>
  <si>
    <t xml:space="preserve">Understanding what Federated Learning Models Learn: a Comparative Study with Traditional Models</t>
  </si>
  <si>
    <t xml:space="preserve">R. Teixeira; L. Almeida; P. Rodrigues; J. Corona; M. Antunes; R. L. Aguiar</t>
  </si>
  <si>
    <t xml:space="preserve">2025 21th International Conference on Wireless and Mobile Computing, Networking and Communications (WiMob)</t>
  </si>
  <si>
    <t xml:space="preserve">10.1109/WiMob66857.2025.11257440</t>
  </si>
  <si>
    <t xml:space="preserve">A Hybrid Machine Learning Platform for Securing Edge Computing Environments: A Review</t>
  </si>
  <si>
    <t xml:space="preserve">H. S. Masendu; J. Pandey; R. Chiwariro; D. Simango</t>
  </si>
  <si>
    <t xml:space="preserve">2026 5th MEC International Conference on Advanced Data Analytics and Artificial Intelligence for Sustainable Smart Cities (ICADAAI)</t>
  </si>
  <si>
    <t xml:space="preserve">10.1109/ICADAAI64945.2026.11679229</t>
  </si>
  <si>
    <t xml:space="preserve">AI-Based Cybersecurity in Healthcare: A Data-Driven, Governance-Aware Framework for Secure Clinical Systems</t>
  </si>
  <si>
    <t xml:space="preserve">R. Kant; R. Rao Thallada; B. Pandey; P. Srivastava</t>
  </si>
  <si>
    <t xml:space="preserve">2026 IEEE 5th International Conference on AI in Cybersecurity (ICAIC)</t>
  </si>
  <si>
    <t xml:space="preserve">10.1109/ICAIC67076.2026.11395836</t>
  </si>
  <si>
    <t xml:space="preserve">Uncertainty-Based Shapley Selection for Client Participation in Federated Intrusion Detection Systems</t>
  </si>
  <si>
    <t xml:space="preserve">H. Peng; C. Wu; Y. Xiao</t>
  </si>
  <si>
    <t xml:space="preserve">2025 5th International Conference on Electronic Information Engineering and Computer Science (EIECS)</t>
  </si>
  <si>
    <t xml:space="preserve">10.1109/EIECS67708.2025.11283617</t>
  </si>
  <si>
    <t xml:space="preserve">A Secure Threat Detection Framework for Federated Learning in Healthcare Environments</t>
  </si>
  <si>
    <t xml:space="preserve">P. Joshi; S. Singh</t>
  </si>
  <si>
    <t xml:space="preserve">2025 International Conference on Cybersecurity and AI-Based Systems (Cyber-AI)</t>
  </si>
  <si>
    <t xml:space="preserve">10.1109/Cyber-AI66431.2025.11233317</t>
  </si>
  <si>
    <t xml:space="preserve">A Proactive AI-Driven Intrusion Detection and Prediction Framework for Secure Industrial IoT Systems</t>
  </si>
  <si>
    <t xml:space="preserve">A. Gokul; K. Silambarasan; S. Farook; M. Meganathan</t>
  </si>
  <si>
    <t xml:space="preserve">2026 6th International Conference on Pervasive Computing and Social Networking (ICPCSN)</t>
  </si>
  <si>
    <t xml:space="preserve">10.1109/ICPCSN68523.2026.11543879</t>
  </si>
  <si>
    <t xml:space="preserve">An Early-Exit Hybrid Intrusion Detection Architecture for Resource-Constrained Iot Edge Devices</t>
  </si>
  <si>
    <t xml:space="preserve">S. Kumar; V. Musale</t>
  </si>
  <si>
    <t xml:space="preserve">2026 10th International Conference on Computing, Communication, Control &amp; Automation (ICCUBEA)</t>
  </si>
  <si>
    <t xml:space="preserve">10.1109/ICCUBEA69821.2026.11702467</t>
  </si>
  <si>
    <t xml:space="preserve">Deep Learning Techniques for Intrusion Detection Systems in Healthcare Environments</t>
  </si>
  <si>
    <t xml:space="preserve">M. Alam; Z. Ashraf; P. Singh; B. Pandey; K. Rehman; L. Aldasheva</t>
  </si>
  <si>
    <t xml:space="preserve">2025 IEEE 14th International Conference on Communication Systems and Network Technologies (CSNT)</t>
  </si>
  <si>
    <t xml:space="preserve">10.1109/CSNT64827.2025.10968425</t>
  </si>
  <si>
    <t xml:space="preserve">Quantum-Assisted SNN-Based XAI Framework for Secure Space-Based Industrial IoT Applications</t>
  </si>
  <si>
    <t xml:space="preserve">M. Thakore; K. Vyas; D. Trivedi; R. Sharma; L. Pathak; R. Gupta; S. Tanwar</t>
  </si>
  <si>
    <t xml:space="preserve">2025 IEEE Region 10 Symposium (TENSYMP)</t>
  </si>
  <si>
    <t xml:space="preserve">10.1109/TENSYMP63728.2025.11145001</t>
  </si>
  <si>
    <t xml:space="preserve">Responsible Deep-Federated-Learning-Based Threat Detection for Satellite Communications</t>
  </si>
  <si>
    <t xml:space="preserve">S. Salim; N. Moustafa; A. Almorjan</t>
  </si>
  <si>
    <t xml:space="preserve">10.1109/JIOT.2025.3531884</t>
  </si>
  <si>
    <t xml:space="preserve">AI-Driven Real-Time API Security: Explainable Threat Detection for Cloud Environments</t>
  </si>
  <si>
    <t xml:space="preserve">A. Mittal; P. Keshap; A. Hosabettu</t>
  </si>
  <si>
    <t xml:space="preserve">2025 IEEE International Carnahan Conference on Security Technology (ICCST)</t>
  </si>
  <si>
    <t xml:space="preserve">10.1109/ICCST63435.2025.11293949</t>
  </si>
  <si>
    <t xml:space="preserve">Explainable Malware Detection using Graph Attention Networks for API-based Behavioral Analysis</t>
  </si>
  <si>
    <t xml:space="preserve">A. N; B. K. JM; A. R; V. R</t>
  </si>
  <si>
    <t xml:space="preserve">2026 Second International Conference on Multi-Agent Systems for Collaborative Intelligence (ICMSCI)</t>
  </si>
  <si>
    <t xml:space="preserve">10.1109/ICMSCI67830.2026.11469430</t>
  </si>
  <si>
    <t xml:space="preserve">Securing Autonomous Vehicle Systems through Machine Learning based Intrusion Detection in Connected Environments</t>
  </si>
  <si>
    <t xml:space="preserve">R. Shah; R. Tandon</t>
  </si>
  <si>
    <t xml:space="preserve">2025 7th International Conference on Innovative Data Communication Technologies and Application (ICIDCA)</t>
  </si>
  <si>
    <t xml:space="preserve">10.1109/ICIDCA66325.2025.11280519</t>
  </si>
  <si>
    <t xml:space="preserve">Generative AI in Intrusion Detection Systems for Internet of Things: A Systematic Literature Review</t>
  </si>
  <si>
    <t xml:space="preserve">Z. Deng; A. Torim; S. Ben Yahia; H. Bahsi</t>
  </si>
  <si>
    <t xml:space="preserve">10.1109/OJCOMS.2025.3573194</t>
  </si>
  <si>
    <t xml:space="preserve">Intelligent Threat Mitigation in Cybersecurity: A Review of Machine Learning Techniques</t>
  </si>
  <si>
    <t xml:space="preserve">P. R. Das; T. S. Kumar; G. Kalyani</t>
  </si>
  <si>
    <t xml:space="preserve">2026 International Conference on Innovations in Emerging Technologies for Sustainable Development (ICIETSD)</t>
  </si>
  <si>
    <t xml:space="preserve">10.1109/ICIETSD68684.2026.11584793</t>
  </si>
  <si>
    <t xml:space="preserve">LEXA-IDS- A Lightweight Explainable Autoencoder-Assisted Intrusion Detection System for Resource-Constrained Iot Networks</t>
  </si>
  <si>
    <t xml:space="preserve">R. E. F. Jino; P. A. C. Raj; S. H. Jose</t>
  </si>
  <si>
    <t xml:space="preserve">2026 4th International Conference on Intelligent Data Communication Technologies and Internet of Things (IDCIoT)</t>
  </si>
  <si>
    <t xml:space="preserve">10.1109/IDCIoT67589.2026.11455811</t>
  </si>
  <si>
    <t xml:space="preserve">Explainable and Robust AI-Enhanced Secure Verification Using Adaptive Federated Learning and Theoretical Analysis</t>
  </si>
  <si>
    <t xml:space="preserve">S. Depuru; N. Chandana; P. Alekhya; S. Madhu; S. V. C. Devi</t>
  </si>
  <si>
    <t xml:space="preserve">10.1109/ICMSCI67830.2026.11469372</t>
  </si>
  <si>
    <t xml:space="preserve">Federated Learning–Enhanced SIEM for Multi-SOC Collaboration: Toward Intelligent, Privacy-Preserving Cyber Defense</t>
  </si>
  <si>
    <t xml:space="preserve">S. Walehiane; M. Errais</t>
  </si>
  <si>
    <t xml:space="preserve">2026 International Conference on Cybersecurity, Digital Forensics, and AI Applications (ICCSDFAI)</t>
  </si>
  <si>
    <t xml:space="preserve">10.1109/ICCSDFAI70505.2026.11647961</t>
  </si>
  <si>
    <t xml:space="preserve">A Deep Q-Learning Approach to Intrusion Detection and Prevention Systems: Enhancing Cybersecurity through Intelligent Adaptation</t>
  </si>
  <si>
    <t xml:space="preserve">P. Chandre; M. B. Shinde; S. V. Tilwant; A. B. Ghandat; B. D. Shendkar; P. Dhotre</t>
  </si>
  <si>
    <t xml:space="preserve">2024 IEEE 4th International Conference on ICT in Business Industry &amp; Government (ICTBIG)</t>
  </si>
  <si>
    <t xml:space="preserve">10.1109/ICTBIG64922.2024.10911733</t>
  </si>
  <si>
    <t xml:space="preserve">Intrusion Detection in IoT: A Comprehensive Review of Techniques, Challenges, and Future Directions</t>
  </si>
  <si>
    <t xml:space="preserve">K. Gharami; M. Parrilla; H. K. Bhullar; W. A. Davis; S. S. Moni</t>
  </si>
  <si>
    <t xml:space="preserve">2025 1st International Conference on Secure IoT, Assured and Trusted Computing (SATC)</t>
  </si>
  <si>
    <t xml:space="preserve">10.1109/SATC65530.2025.11137243</t>
  </si>
  <si>
    <t xml:space="preserve">Interpretable Anomaly Detection in Industrial Control Systems Using Federated Learning</t>
  </si>
  <si>
    <t xml:space="preserve">L. Thodupunuri; N. Peesari; S. Utukuru</t>
  </si>
  <si>
    <t xml:space="preserve">2024 8th International Conference on Inventive Systems and Control (ICISC)</t>
  </si>
  <si>
    <t xml:space="preserve">10.1109/ICISC62624.2024.00122</t>
  </si>
  <si>
    <t xml:space="preserve">Active Digital Twin Verification for Robust Federated Learning in IoT Intrusion Detection</t>
  </si>
  <si>
    <t xml:space="preserve">H. -H. Pham; P. T. Duy; V. -H. Pham</t>
  </si>
  <si>
    <t xml:space="preserve">2026 Eleventh International Conference on Communications and Electronics (ICCE)</t>
  </si>
  <si>
    <t xml:space="preserve">10.1109/ICCE70609.2026.11658485</t>
  </si>
  <si>
    <t xml:space="preserve">AI-Powered Intrusion Detection System Using Hybrid Deep Learning Models</t>
  </si>
  <si>
    <t xml:space="preserve">S. Jaichandran; M. Shyam; A. P. S. Anandraj</t>
  </si>
  <si>
    <t xml:space="preserve">2026 1st International Conference on Innovation &amp; Growth in Next-Gen Intelligent Technology &amp; Engineering (IGNITE)</t>
  </si>
  <si>
    <t xml:space="preserve">10.1109/IGNITE69592.2026.11706188</t>
  </si>
  <si>
    <t xml:space="preserve">Interpretable Deep Learning for DDoS Defense: A SHAP-based Approach in Cloud Computing</t>
  </si>
  <si>
    <t xml:space="preserve">M. Ouhssini; K. Afdel; M. Akouhar; E. Agherrabi; A. Abarda</t>
  </si>
  <si>
    <t xml:space="preserve">2024 International Conference on Circuit, Systems and Communication (ICCSC)</t>
  </si>
  <si>
    <t xml:space="preserve">10.1109/ICCSC62074.2024.10616654</t>
  </si>
  <si>
    <t xml:space="preserve">Neuro-Symbolic Intent-Based Intrusion Detection System for Internet of Medical Things</t>
  </si>
  <si>
    <t xml:space="preserve">Y. Sun; F. Khan; G. Srivastava; R. Alturki; S. Tauhid Ullah Shah; H. Wang</t>
  </si>
  <si>
    <t xml:space="preserve">10.1109/JIOT.2025.3645938</t>
  </si>
  <si>
    <t xml:space="preserve">Enhancing IoT Network Security through Adaptive Curriculum Learning and XAI</t>
  </si>
  <si>
    <t xml:space="preserve">S. Narkedimilli; S. Makam; A. V. Sriram; S. Prashanth Mallellu; M. Sathvik; R. V. Prasad</t>
  </si>
  <si>
    <t xml:space="preserve">2025 IEEE Future Networks World Forum (FNWF)</t>
  </si>
  <si>
    <t xml:space="preserve">10.1109/FNWF66845.2025.11317635</t>
  </si>
  <si>
    <t xml:space="preserve">Cognitive IoT and Edge Computing for Intrusion Detection with Federated TinyML</t>
  </si>
  <si>
    <t xml:space="preserve">M. Li; P. Laiu; J. A. Nichols; M. Huettel; I. Sikkema; M. Mathur; S. Hollifield; M. Hankins</t>
  </si>
  <si>
    <t xml:space="preserve">2025 IEEE World AI IoT Congress (AIIoT)</t>
  </si>
  <si>
    <t xml:space="preserve">10.1109/AIIoT65859.2025.11105231</t>
  </si>
  <si>
    <t xml:space="preserve">Deep Learning Models for Real-Time Intrusion Detection and Anomaly Prevention</t>
  </si>
  <si>
    <t xml:space="preserve">S. Tipparapu; Y. Suthari; D. Khamitkar; S. N. Hasan; A. Hadi; S. Katta</t>
  </si>
  <si>
    <t xml:space="preserve">2026 2nd International Conference on Cognitive Computing in Engineering, Communications, Sciences and Biomedical Health Informatics (IC3ECSBHI)</t>
  </si>
  <si>
    <t xml:space="preserve">10.1109/IC3ECSBHI67834.2026.11468970</t>
  </si>
  <si>
    <t xml:space="preserve">Explainable AI for Cybersecurity: Implementing Interpretable Models for Real-Time Threat Detection</t>
  </si>
  <si>
    <t xml:space="preserve">H. Prasad; U. Prasad; P. Paul</t>
  </si>
  <si>
    <t xml:space="preserve">2025 International Conference on Communication and Smart Devices (ICCoSD)</t>
  </si>
  <si>
    <t xml:space="preserve">10.1109/ICCoSD66074.2025.11348330</t>
  </si>
  <si>
    <t xml:space="preserve">The Missing Link in Network Intrusion Detection: Taking AI/ML Research Efforts to Users</t>
  </si>
  <si>
    <t xml:space="preserve">K. Dietz; M. Mühlhauser; J. Kögel; S. Schwinger; M. Sichermann; M. Seufert; D. Herrmann; T. Hoßfeld</t>
  </si>
  <si>
    <t xml:space="preserve">10.1109/ACCESS.2024.3406939</t>
  </si>
  <si>
    <t xml:space="preserve">Unified AI Models for Network Intrusion Detection and Deepfake Forensics: A Comprehensive Survey</t>
  </si>
  <si>
    <t xml:space="preserve">A. Sinha; C. Yadav; D. Chatterjee; A. Sinha</t>
  </si>
  <si>
    <t xml:space="preserve">2025 13th International Conference on Intelligent Embedded, MicroElectronics, Communication and Optical Networks (IEMECON)</t>
  </si>
  <si>
    <t xml:space="preserve">10.1109/IEMECON69302.2025.11365902</t>
  </si>
  <si>
    <t xml:space="preserve">Feature Distraction Based Backdoor Defense for Federated Trained Intrusion Detection System</t>
  </si>
  <si>
    <t xml:space="preserve">Y. -W. Chen; B. -H. Ke; Y. -X. Wang; S. -H. Lin; M. -H. Tsai; B. -Z. Chen; J. -J. Kuo; R. -H. Hwang</t>
  </si>
  <si>
    <t xml:space="preserve">GLOBECOM 2024 - 2024 IEEE Global Communications Conference</t>
  </si>
  <si>
    <t xml:space="preserve">10.1109/GLOBECOM52923.2024.10901202</t>
  </si>
  <si>
    <t xml:space="preserve">A Survey on AI for 6G: Challenges and Opportunities</t>
  </si>
  <si>
    <t xml:space="preserve">C. Chatzieleftheriou; E. Liotou</t>
  </si>
  <si>
    <t xml:space="preserve">10.1109/OJCOMS.2026.3677293</t>
  </si>
  <si>
    <t xml:space="preserve">Secure Federated Learning for Real-Time Cyber Threat Detection in EV Charging Infrastructures</t>
  </si>
  <si>
    <t xml:space="preserve">H. Ibrahim; L. A. C. Ahakonye; J. M. Lee; D. -S. Kim</t>
  </si>
  <si>
    <t xml:space="preserve">10.1109/ICAIIC68212.2026.11454184</t>
  </si>
  <si>
    <t xml:space="preserve">Federated Large Language Models for Wireless Networks</t>
  </si>
  <si>
    <t xml:space="preserve">Y. Himeur; D. W. Dawoud; O. Alnaseri; S. Atalla; W. Mansoor; H. Al-Ahmad</t>
  </si>
  <si>
    <t xml:space="preserve">2025 International Wireless Communications and Mobile Computing (IWCMC)</t>
  </si>
  <si>
    <t xml:space="preserve">10.1109/IWCMC65282.2025.11059463</t>
  </si>
  <si>
    <t xml:space="preserve">Neuro-Symbolic AI for Automated Cyber Threat Intelligence Generation</t>
  </si>
  <si>
    <t xml:space="preserve">P. S N; D. K. J. B. Saini; S. A. Yewale; N. Malik; F. F; A. K. Patil</t>
  </si>
  <si>
    <t xml:space="preserve">2025 9th International Conference on Computing, Communication, Control and Automation (ICCCBEA)</t>
  </si>
  <si>
    <t xml:space="preserve">10.1109/ICCUBEA65967.2025.11284257</t>
  </si>
  <si>
    <t xml:space="preserve">Evolution in Security and Privacy for 6G Networks: AI Perspectives and Key Enablers</t>
  </si>
  <si>
    <t xml:space="preserve">C. Moremada; V. Ravihansa; B. Siniarski; A. Braeken; Q. -V. Pham; Y. Siriwardhana; B. O. Ozparlak; E. Kanaki; G. Gür; P. Chatzimisios; E. M. de Oca; S. Sarfati; M. Liyanage</t>
  </si>
  <si>
    <t xml:space="preserve">2026 Joint European Conference on Networks and Communications &amp; 6G Summit (EuCNC/6G Summit)</t>
  </si>
  <si>
    <t xml:space="preserve">10.1109/EuCNC/6GSummit68295.2026.11577544</t>
  </si>
  <si>
    <t xml:space="preserve">Enhancing Security and Privacy in 5G Networks Through SDN-Enabled Edge Computing and AI-Driven Anomaly Detection</t>
  </si>
  <si>
    <t xml:space="preserve">D. Kumar; S. K. Pandey; S. Kumar</t>
  </si>
  <si>
    <t xml:space="preserve">2026 5th OPJU International Technology Conference (OTCON) on Smart Computing for Innovation and Advancement in Industry 5.0</t>
  </si>
  <si>
    <t xml:space="preserve">10.1109/OTCON69332.2026.11629710</t>
  </si>
  <si>
    <t xml:space="preserve">Towards a Serverless Intelligent Firewall: AI-Driven Security, and Zero-Trust Architectures</t>
  </si>
  <si>
    <t xml:space="preserve">M. A. R. Chowdhury; H. N. Dang; R. Bazan-Antequera; M. S. Khan; M. R. Karim; S. Manakkadu</t>
  </si>
  <si>
    <t xml:space="preserve">2025 IEEE 12th International Conference on Cyber Security and Cloud Computing (CSCloud)</t>
  </si>
  <si>
    <t xml:space="preserve">10.1109/CSCloud66326.2025.00018</t>
  </si>
  <si>
    <t xml:space="preserve">An Iterative Systematic Analytical Review of Machine Learning Techniques for Blockchain Optimization</t>
  </si>
  <si>
    <t xml:space="preserve">N. Korde; T. Diwan; M. Digalwar</t>
  </si>
  <si>
    <t xml:space="preserve">10.1109/ACCESS.2025.3604287</t>
  </si>
  <si>
    <t xml:space="preserve">Federated Temporal RAG for Privacy-Preserving Real-Time Threat Intelligence in Distributed Remote Patient Monitoring</t>
  </si>
  <si>
    <t xml:space="preserve">M. Z. Alam; E. Ayath</t>
  </si>
  <si>
    <t xml:space="preserve">2026 2nd International Conference on Federated Learning and Intelligent Computing Systems (FLICS)</t>
  </si>
  <si>
    <t xml:space="preserve">10.1109/FLICS70075.2026.11621910</t>
  </si>
  <si>
    <t xml:space="preserve">AI Enabled Threat Detection: Leveraging Artificial Intelligence for Advanced Security and Cyber Threat Mitigation</t>
  </si>
  <si>
    <t xml:space="preserve">K. Dhanushkodi; S. Thejas</t>
  </si>
  <si>
    <t xml:space="preserve">10.1109/ACCESS.2024.3493957</t>
  </si>
  <si>
    <t xml:space="preserve">Ethical and Privacy Challenges of AI-Driven Threat Intelligence: Toward a Framework for Responsible Cyber Defense</t>
  </si>
  <si>
    <t xml:space="preserve">S. Jaiswal; A. Ghosh; R. Dobriyal; S. Chandila; N. Tyagi; G. Bhatnagar</t>
  </si>
  <si>
    <t xml:space="preserve">10.1109/IC3ECSBHI67834.2026.11469082</t>
  </si>
  <si>
    <t xml:space="preserve">AI Powered Autonomous Network Security</t>
  </si>
  <si>
    <t xml:space="preserve">V. V. A. S. Lakshmi; U. V. M. Reddy; M. Hajari; B. Jagadeesh; K. S. S. Reddy; S. Oggu</t>
  </si>
  <si>
    <t xml:space="preserve">2025 9th International Conference on Electronics, Communication and Aerospace Technology (ICECA)</t>
  </si>
  <si>
    <t xml:space="preserve">10.1109/ICECA66444.2025.11383199</t>
  </si>
  <si>
    <t xml:space="preserve">The Role of Artificial intelligence in Cyber Defense and Attack Detection</t>
  </si>
  <si>
    <t xml:space="preserve">A. Alghatrifi; J. Pandey</t>
  </si>
  <si>
    <t xml:space="preserve">2026 International Conference on Sustainable Engineering and Digital Innovation (ICSEDI)</t>
  </si>
  <si>
    <t xml:space="preserve">10.1109/ICSEDI66420.2026.11568331</t>
  </si>
  <si>
    <t xml:space="preserve">Enhancing Cybersecurity through Artificial Intelligence: Foundations, Challenges, and Perspectives</t>
  </si>
  <si>
    <t xml:space="preserve">B. Rafika; M. Smaine</t>
  </si>
  <si>
    <t xml:space="preserve">2025 Fourth International Conference on Theoretical and Applicative Aspects of Computer Science (ICTAACS)</t>
  </si>
  <si>
    <t xml:space="preserve">10.1109/ICTAACS69003.2025.11399390</t>
  </si>
  <si>
    <t xml:space="preserve">Deep Learning Approach and its Application in the Cybersecurity Domain</t>
  </si>
  <si>
    <t xml:space="preserve">P. D. Chaudhari; A. Gudadhe</t>
  </si>
  <si>
    <t xml:space="preserve">2025 International Conference on Machine Learning and Autonomous Systems (ICMLAS)</t>
  </si>
  <si>
    <t xml:space="preserve">10.1109/ICMLAS64557.2025.10968413</t>
  </si>
  <si>
    <t xml:space="preserve">AI-Driven Continuous Authentication for Strengthening Security in IoT-Based Digital Institutions</t>
  </si>
  <si>
    <t xml:space="preserve">M. Kathiravan</t>
  </si>
  <si>
    <t xml:space="preserve">2026 4th International Conference on Integrated Circuits and Communication Systems (ICICACS)</t>
  </si>
  <si>
    <t xml:space="preserve">10.1109/ICICACS68679.2026.11578666</t>
  </si>
  <si>
    <t xml:space="preserve">Identification of Attacks in WSN using AI &amp; ML</t>
  </si>
  <si>
    <t xml:space="preserve">U. Valiya; D. K. Gupta; A. Jain; P. Kaur; V. A. Shukre; R. Sekhar Vetukuri</t>
  </si>
  <si>
    <t xml:space="preserve">2026 7th International Conference on Smart Systems and Inventive Technology (ICSSIT)</t>
  </si>
  <si>
    <t xml:space="preserve">10.1109/ICSSIT69151.2026.11656621</t>
  </si>
  <si>
    <t xml:space="preserve">Adaptive Threat Modeling with MITRE ATT&amp;CK: A Machine Learning Framework for Real-Time Adversarial Detection</t>
  </si>
  <si>
    <t xml:space="preserve">V. B Maniyat; A. Kumar B R</t>
  </si>
  <si>
    <t xml:space="preserve">2025 9th International Conference on Computational System and Information Technology for Sustainable Solutions (CSITSS)</t>
  </si>
  <si>
    <t xml:space="preserve">10.1109/CSITSS67709.2025.11295603</t>
  </si>
  <si>
    <t xml:space="preserve">Advancing Network Security in 5G: Leveraging the 5G-NIDD Dataset for Intrusion Detection and Mitigation</t>
  </si>
  <si>
    <t xml:space="preserve">S. Singh</t>
  </si>
  <si>
    <t xml:space="preserve">10.1109/CSCloud66326.2025.00055</t>
  </si>
  <si>
    <t xml:space="preserve">From Black Box to Trustworthy AI: A Secure Framework for Explainable Cybersecurity Decision-Making</t>
  </si>
  <si>
    <t xml:space="preserve">S. Safavi; M. S. H. Abdulnabi; M. E. Rana; S. Alizadeh</t>
  </si>
  <si>
    <t xml:space="preserve">2025 International Conference on Advancements in Smart, Secure and Intelligent Computing (ASSIC)</t>
  </si>
  <si>
    <t xml:space="preserve">10.1109/ASSIC64892.2025.11158699</t>
  </si>
  <si>
    <t xml:space="preserve">Scalable Data Fusion and AI-Based Knowledge Extraction for Complex IT Systems</t>
  </si>
  <si>
    <t xml:space="preserve">P. K. Myakala; C. Bura; A. K. Jonnalagadda; P. Naayini; S. Kamatala</t>
  </si>
  <si>
    <t xml:space="preserve">2025 International Conference on Artificial Intelligence and Machine Vision (AIMV)</t>
  </si>
  <si>
    <t xml:space="preserve">10.1109/AIMV66517.2025.11203358</t>
  </si>
  <si>
    <t xml:space="preserve">Anomaly Detection Tools for the Lifecycle Security of Smart Systems</t>
  </si>
  <si>
    <t xml:space="preserve">D. A. Ron; A. Aguayo-Mendoza; O. G. Perales; A. Mpantis; G. Triantafyllou; N. Goetze; R. O. Mancilla</t>
  </si>
  <si>
    <t xml:space="preserve">2025 IEEE International Conference on Smart Computing (SMARTCOMP)</t>
  </si>
  <si>
    <t xml:space="preserve">10.1109/SMARTCOMP65954.2025.00086</t>
  </si>
  <si>
    <t xml:space="preserve">SecureMind-Net: A Context-Aware Adaptive Agent Framework for Personalized Cybersecurity Threat Mitigation Using Neuro-Symbolic AI and Federated Learning</t>
  </si>
  <si>
    <t xml:space="preserve">B. Joseph; B. Lavaraju; S.Thangamayan; R. Roshini</t>
  </si>
  <si>
    <t xml:space="preserve">2025 2nd Asian Conference on Intelligent Technologies (ACOIT)</t>
  </si>
  <si>
    <t xml:space="preserve">10.1109/ACOIT66109.2025.11437065</t>
  </si>
  <si>
    <t xml:space="preserve">Evaluating AI Algorithms for Next-Generation Intrusion Detection Systems</t>
  </si>
  <si>
    <t xml:space="preserve">R. Bembade; A. Kamble; P. Kamble</t>
  </si>
  <si>
    <t xml:space="preserve">10.1109/IGNITE69592.2026.11705954</t>
  </si>
  <si>
    <t xml:space="preserve">AI-Enhanced Threat Intelligence in Remote Patient Monitoring Systems: A Survey on Recent Advances, Challenges and Future Research Directions</t>
  </si>
  <si>
    <t xml:space="preserve">J. Trivedi; M. Tahir; J. Isoaho</t>
  </si>
  <si>
    <t xml:space="preserve">10.1109/ACCESS.2025.3572626</t>
  </si>
  <si>
    <t xml:space="preserve">Artificial Intelligence (AI) in Cybersecurity and Inhibitors to AI Adoption</t>
  </si>
  <si>
    <t xml:space="preserve">R. Barton; P. W. C. Prasad; I. Seher; A. Elchouemi</t>
  </si>
  <si>
    <t xml:space="preserve">2024 International Conference on Intelligent Education and Intelligent Research (IEIR)</t>
  </si>
  <si>
    <t xml:space="preserve">10.1109/IEIR62538.2024.10959777</t>
  </si>
  <si>
    <t xml:space="preserve">A Critical Evaluation of Agentic AI in Cybersecurity: The Pros and the Cons</t>
  </si>
  <si>
    <t xml:space="preserve">V. Obojo; R. A. Ikuesan; E. Iortom</t>
  </si>
  <si>
    <t xml:space="preserve">2025 9th Cyber Security in Networking Conference (CSNet)</t>
  </si>
  <si>
    <t xml:space="preserve">10.1109/CSNet67572.2025.11288238</t>
  </si>
  <si>
    <t xml:space="preserve">A Survey of IoT-Assisted Healthcare Systems: Machine Learning Techniques, Security Challenges, and Future Directions</t>
  </si>
  <si>
    <t xml:space="preserve">F. Zobair; M. Ozaif; S. Mustajab; M. Alam; I. Khan</t>
  </si>
  <si>
    <t xml:space="preserve">2026 International Conference on Intelligent Systems in Engineering, Secured Systems and Cybersecurity (ICISESSC)</t>
  </si>
  <si>
    <t xml:space="preserve">10.1109/ICISESSC68634.2026.11542631</t>
  </si>
  <si>
    <t xml:space="preserve">AI-Powered Threat Detection and Response System for Next-Gen Cyber Defense</t>
  </si>
  <si>
    <t xml:space="preserve">A. Vinod Telrandhe; D. Nishane; C. Puri; U. Gayaki</t>
  </si>
  <si>
    <t xml:space="preserve">10.1109/ICECST66106.2025.11307219</t>
  </si>
  <si>
    <t xml:space="preserve">A Survey on XAI for 5G and Beyond Security: Technical Aspects, Challenges and Research Directions</t>
  </si>
  <si>
    <t xml:space="preserve">T. Senevirathna; V. H. La; S. Marcha; B. Siniarski; M. Liyanage; S. Wang</t>
  </si>
  <si>
    <t xml:space="preserve">IEEE Communications Surveys &amp; Tutorials</t>
  </si>
  <si>
    <t xml:space="preserve">10.1109/COMST.2024.3437248</t>
  </si>
  <si>
    <t xml:space="preserve">WMSD: A Wireless Multimedia Security Dataset and a Multi-Level IDS With Machine Learning and Explainable TabNet</t>
  </si>
  <si>
    <t xml:space="preserve">A. Saighi; S. Kouah; S. Zertal; D. Megías; R. Khanfar; Z. Laboudi</t>
  </si>
  <si>
    <t xml:space="preserve">10.1109/ACCESS.2026.3656386</t>
  </si>
  <si>
    <t xml:space="preserve">Breaking Down Silos: A Federated Approach to Collaborative Threat Detection Using Privacy-Preserving Machine Learning</t>
  </si>
  <si>
    <t xml:space="preserve">N. S. Vummaneni; S. Bobba</t>
  </si>
  <si>
    <t xml:space="preserve">2026 International Conference on Integrated Intelligence and Cognitive Engineering (ICIICE)</t>
  </si>
  <si>
    <t xml:space="preserve">10.1109/ICIICE69672.2026.11565223</t>
  </si>
  <si>
    <t xml:space="preserve">A Systematic Review of Threat Intelligence and Intrusion Detection Systems in Cybersecurity Architecture</t>
  </si>
  <si>
    <t xml:space="preserve">A. Bhardwaj; S. K. Srivastava; P. Sagar; M. K. Mahto</t>
  </si>
  <si>
    <t xml:space="preserve">2025 1st IEEE Uttar Pradesh Section Women in Engineering International Conference on Electrical Electronics and Computer Engineering (UPWIECON)</t>
  </si>
  <si>
    <t xml:space="preserve">10.1109/UPWIECON67212.2025.11390140</t>
  </si>
  <si>
    <t xml:space="preserve">Machine Learning in Cybersecurity: A Comprehensive Review of Threat Detection, Prevention, and Response Strategies</t>
  </si>
  <si>
    <t xml:space="preserve">T. Desai; R. Kumar Pal</t>
  </si>
  <si>
    <t xml:space="preserve">2025 4th International Conference on Computational Modelling, Simulation and Optimization (ICCMSO)</t>
  </si>
  <si>
    <t xml:space="preserve">10.1109/ICCMSO67468.2025.00035</t>
  </si>
  <si>
    <t xml:space="preserve">Artificial Intelligence-Powered Cybersecurity Solutions: Strengthening the Defense of Cloud Infrastructure with Machine Learning and Predictive Threat Analytics</t>
  </si>
  <si>
    <t xml:space="preserve">G. S. Walia; P. Deepalakshmi</t>
  </si>
  <si>
    <t xml:space="preserve">2025 Global Conference in Emerging Technology (GINOTECH)</t>
  </si>
  <si>
    <t xml:space="preserve">10.1109/GINOTECH63460.2025.11076903</t>
  </si>
  <si>
    <t xml:space="preserve">AI-Enabled Cloud Computing for Scalable and Adaptive Digital Ecosystems</t>
  </si>
  <si>
    <t xml:space="preserve">R. Hawage; L. Madireddy</t>
  </si>
  <si>
    <t xml:space="preserve">10.1109/ICECST66106.2025.11307198</t>
  </si>
  <si>
    <t xml:space="preserve">Agentic AI for Cybersecurity: Explainable Graph Neural Networks with Federated and Reinforcement Learning for Threat Prediction and Mitigation</t>
  </si>
  <si>
    <t xml:space="preserve">M. Saeed; H. Shafique; H. Manzoor; M. Ibrar; M. Javed; A. Kanwal</t>
  </si>
  <si>
    <t xml:space="preserve">2025 International Conference on Frontiers of Information Technology (FIT)</t>
  </si>
  <si>
    <t xml:space="preserve">10.1109/FIT67061.2025.11333757</t>
  </si>
  <si>
    <t xml:space="preserve">Implementation of a Zero Trust Edge Blockchain Framework for IoT Security: Integrating 6G Connectivity and LoRaWAN</t>
  </si>
  <si>
    <t xml:space="preserve">J. R; Z. A. K. N; D. S</t>
  </si>
  <si>
    <t xml:space="preserve">2025 International Conference on Signal Processing, Computation, Electronics, Power and Telecommunication (IConSCEPT)</t>
  </si>
  <si>
    <t xml:space="preserve">10.1109/IConSCEPT66142.2025.11437031</t>
  </si>
  <si>
    <t xml:space="preserve">Intrusion Detection In IoT Using Machine Learning Techniques:Latest Trends And Current Challenges</t>
  </si>
  <si>
    <t xml:space="preserve">M. M. Salah; M. Smaine; C. Ramdane</t>
  </si>
  <si>
    <t xml:space="preserve">10.1109/ICTAACS69003.2025.11399294</t>
  </si>
  <si>
    <t xml:space="preserve">LLMs for Intrusion Detection Systems: A Review</t>
  </si>
  <si>
    <t xml:space="preserve">A. G. EROL; S. DEMİRCİ</t>
  </si>
  <si>
    <t xml:space="preserve">2025 18th International Conference on Information Security and Cryptology (ISCTürkiye)</t>
  </si>
  <si>
    <t xml:space="preserve">10.1109/ISCTrkiye68593.2025.11224813</t>
  </si>
  <si>
    <t xml:space="preserve">Integrating Deep Learning with Intrusion Detection Systems: A New Paradigm in Cyber Threat Mitigation</t>
  </si>
  <si>
    <t xml:space="preserve">M. Gangrade</t>
  </si>
  <si>
    <t xml:space="preserve">2025 World Skills Conference on Universal Data Analytics and Sciences (WorldSUAS)</t>
  </si>
  <si>
    <t xml:space="preserve">10.1109/WorldSUAS66815.2025.11199124</t>
  </si>
  <si>
    <t xml:space="preserve">Graph Neural Networks for IoMT Intrusion Detection: Modeling Architectures, Learning Paradigms, and Deployment Challenges</t>
  </si>
  <si>
    <t xml:space="preserve">H. Chen; F. Qamar; G. Guo; M. H. u. Rehman; S. N. H. S. Abdullah</t>
  </si>
  <si>
    <t xml:space="preserve">10.1109/JIOT.2026.3704452</t>
  </si>
  <si>
    <t xml:space="preserve">A Synthesis of AI/ML Algorithms and Multi-Agent Systems for Next-Generation IoT Cyber Defense</t>
  </si>
  <si>
    <t xml:space="preserve">A. Kaulage; R. Bembade; A. Bhosle; H. Shinde</t>
  </si>
  <si>
    <t xml:space="preserve">10.1109/ICCUBEA69821.2026.11701855</t>
  </si>
  <si>
    <t xml:space="preserve">AI for Cyber Defense: A Balanced View of Advantages and Security Threats</t>
  </si>
  <si>
    <t xml:space="preserve">A. Yessengeldina; R. Tormosov; D. Dushabayev; A. Batkuldin; D. Akimova; K. Syratay</t>
  </si>
  <si>
    <t xml:space="preserve">10.1109/ICCSDFAI70505.2026.11647945</t>
  </si>
  <si>
    <t xml:space="preserve">FROST-IDS: Federated Robust Optimized Secure Threat Detection via Mixture-of-Experts with FPR-Constrained Threshold Calibration</t>
  </si>
  <si>
    <t xml:space="preserve">D. A; S. Garg; S. L; P. Bhattacharjee; S. Arukh; G. H L</t>
  </si>
  <si>
    <t xml:space="preserve">2026 IEEE International Conference on Electronics, Computing and Communication Technologies (CONECCT)</t>
  </si>
  <si>
    <t xml:space="preserve">10.1109/CONECCT68978.2026.11700630</t>
  </si>
  <si>
    <t xml:space="preserve">Security and Privacy Frameworks for 6G-Driven Metaverse</t>
  </si>
  <si>
    <t xml:space="preserve">W. Y. Leong</t>
  </si>
  <si>
    <t xml:space="preserve">2026 23rd International Conference on Electrical Engineering/Electronics, Computer, Telecommunications and Information Technology (ECTI-CON)</t>
  </si>
  <si>
    <t xml:space="preserve">10.1109/ECTI-CON68836.2026.11608747</t>
  </si>
  <si>
    <t xml:space="preserve">LSTM-AU: Dynamic Thresholding and Explainable Autoencoding for Cyber Defense</t>
  </si>
  <si>
    <t xml:space="preserve">O. A. H. Gwassi; A. T. K. Al-Khayyat; O. N. Ucan</t>
  </si>
  <si>
    <t xml:space="preserve">2025 9th International Symposium on Multidisciplinary Studies and Innovative Technologies (ISMSIT)</t>
  </si>
  <si>
    <t xml:space="preserve">10.1109/ISMSIT67332.2025.11268060</t>
  </si>
  <si>
    <t xml:space="preserve">Artificial Intelligence Intrusion Detection Framework for Smart Home IoT Using Machine Learning</t>
  </si>
  <si>
    <t xml:space="preserve">N. S. Madala; A. Muniyappan</t>
  </si>
  <si>
    <t xml:space="preserve">2026 International Conference on Data Science, Agents and Artificial Intelligence (ICDSAAI)</t>
  </si>
  <si>
    <t xml:space="preserve">10.1109/ICDSAAI69492.2026.11505153</t>
  </si>
  <si>
    <t xml:space="preserve">Fed-MA Driven Multi-Modal Data Fusion Framework with Autoencoders for Scalable and Privacy-Preserving Edge Intelligence</t>
  </si>
  <si>
    <t xml:space="preserve">N. L</t>
  </si>
  <si>
    <t xml:space="preserve">2026 7th International Conference on Mobile Computing and Sustainable Informatics (ICMCSI)</t>
  </si>
  <si>
    <t xml:space="preserve">10.1109/ICMCSI67283.2026.11412516</t>
  </si>
  <si>
    <t xml:space="preserve">Adversarially-Robust Machine Learning Framework for Real-Time Intrusion Detection in Edge-Based IoT Networks</t>
  </si>
  <si>
    <t xml:space="preserve">Y. Shobha; K. Jeevarathinam; S. R; V. R. Nomula; V. V; S. C. Madugula</t>
  </si>
  <si>
    <t xml:space="preserve">2026 9th International Conference on Intelligent Computing and Control Systems (ICICCS)</t>
  </si>
  <si>
    <t xml:space="preserve">10.1109/ICICCS67901.2026.11502934</t>
  </si>
  <si>
    <t xml:space="preserve">Integrating AI and IoT in Smart Healthcare Monitoring: Improving Data Privacy and Security During Medical Emergencies in Real-Time</t>
  </si>
  <si>
    <t xml:space="preserve">P. Ndebele; A. K. A. Akoamah; P. Kumar</t>
  </si>
  <si>
    <t xml:space="preserve">10.23919/CCICTCPS00010.2026.00081</t>
  </si>
  <si>
    <t xml:space="preserve">Applying AI to Overcome IoT Challenges for Enterprise Architecture in Smart Cities, Industry, and Healthcare</t>
  </si>
  <si>
    <t xml:space="preserve">H. Sadrarhami; S. M. Zanjani; G. Shahgholian; M. Ataei</t>
  </si>
  <si>
    <t xml:space="preserve">2025 9th Iranian Conference on Advances in Enterprise Architecture (ICAEA)</t>
  </si>
  <si>
    <t xml:space="preserve">10.1109/ICAEA69058.2025.11301439</t>
  </si>
  <si>
    <t xml:space="preserve">Analyzing Backdoor Vulnerabilities in Interpretable Machine Learning for Wireless Jamming Detection Using Tsetlin Machines</t>
  </si>
  <si>
    <t xml:space="preserve">V. Halenka; M. Amini; P. -A. Andersen; O. -C. Granmo; L. Jiao; B. Kantarci</t>
  </si>
  <si>
    <t xml:space="preserve">IEEE Transactions on Network Science and Engineering</t>
  </si>
  <si>
    <t xml:space="preserve">10.1109/TNSE.2026.3727545</t>
  </si>
  <si>
    <t xml:space="preserve">AI-Enhanced Anomaly Detection in Software-Defined Networks</t>
  </si>
  <si>
    <t xml:space="preserve">J. S. Prasath; S. J. Parvez; A. Govindaram; T. Anuradha; J. Anand A; N. Rajkumar</t>
  </si>
  <si>
    <t xml:space="preserve">2025 International Conference on Advanced Computing Technologies (ICoACT)</t>
  </si>
  <si>
    <t xml:space="preserve">10.1109/ICoACT63339.2025.11005170</t>
  </si>
  <si>
    <t xml:space="preserve">An Extended INFR Framework for Anomaly Detection and Mitigation in IoT Botnet</t>
  </si>
  <si>
    <t xml:space="preserve">K. Tomar; V. Thada; U. Garg</t>
  </si>
  <si>
    <t xml:space="preserve">2025 International Conference on Digital Innovations for Sustainable Solutions (ICDISS)</t>
  </si>
  <si>
    <t xml:space="preserve">10.1109/ICDISS68238.2025.11320706</t>
  </si>
  <si>
    <t xml:space="preserve">Review of Privacy and Security Mechanisms in Smart Cities: From Data Protection to Threat Prevention</t>
  </si>
  <si>
    <t xml:space="preserve">M. Althabahi; S. Abbas</t>
  </si>
  <si>
    <t xml:space="preserve">2026 6th International Conference on Electrical, Computer and Energy Technologies (ICECET)</t>
  </si>
  <si>
    <t xml:space="preserve">10.1109/ICECET65726.2026.11633175</t>
  </si>
  <si>
    <t xml:space="preserve">A Comprehensive Review of ML-Techniques for Botnet Detection in IoT Environments</t>
  </si>
  <si>
    <t xml:space="preserve">M. A. Khan; A. Chaudhary; K. Singh</t>
  </si>
  <si>
    <t xml:space="preserve">2026 International Conference on Innovations in Computational Intelligence (ICICI)</t>
  </si>
  <si>
    <t xml:space="preserve">10.1109/ICICI68867.2026.11565013</t>
  </si>
  <si>
    <t xml:space="preserve">Employing Big Data and AI to Real-Time Detect Emerging Threats: Improved Machine Learning for Cyberattack Prediction</t>
  </si>
  <si>
    <t xml:space="preserve">S. Balusamy; R. K. Rengasamy; A. J</t>
  </si>
  <si>
    <t xml:space="preserve">10.1109/GINOTECH63460.2025.11076727</t>
  </si>
  <si>
    <t xml:space="preserve">Agentic AI-Driven Cyber Defense Framework for Autonomous Threat Detection and Response</t>
  </si>
  <si>
    <t xml:space="preserve">S. N; P. Anupriya; S. Mathumohan; N. G. Aarthi; V. Nagamalla; S. Macherla</t>
  </si>
  <si>
    <t xml:space="preserve">10.1109/CMSS69636.2026.11688298</t>
  </si>
  <si>
    <t xml:space="preserve">A Review of Emerging Intelligence Techniques for Securing IoT Networks Against Cyber Intrusions Detection</t>
  </si>
  <si>
    <t xml:space="preserve">R. Jamuna; G. Thangavel</t>
  </si>
  <si>
    <t xml:space="preserve">2026 13th International Conference on Computing for Sustainable Global Development (INDIACom)</t>
  </si>
  <si>
    <t xml:space="preserve">10.23919/INDIACom70271.2026.11526277</t>
  </si>
  <si>
    <t xml:space="preserve">An AI-Driven Network Forensic Framework Using BERT and GPT for Cybercrime Investigation</t>
  </si>
  <si>
    <t xml:space="preserve">B. Abisha; V. S. Kumari</t>
  </si>
  <si>
    <t xml:space="preserve">2025 International Conference on Intelligent and Secure Engineering Solutions (CISES)</t>
  </si>
  <si>
    <t xml:space="preserve">10.1109/CISES66934.2025.11265499</t>
  </si>
  <si>
    <t xml:space="preserve">A Lightweight, Novel Framework for Anomaly Detection in IoMT Networks using Feature-Engineered Autoencoders with SHAP Analysis</t>
  </si>
  <si>
    <t xml:space="preserve">S. Ahmed</t>
  </si>
  <si>
    <t xml:space="preserve">2025 IEEE 7th International Conference on Sustainable Technologies For Industry 5.0 (STI)</t>
  </si>
  <si>
    <t xml:space="preserve">10.1109/STI69347.2025.11367512</t>
  </si>
  <si>
    <t xml:space="preserve">Evaluating Green AI Techniques in the Context of Cybercrime Prevention: A Review of 5G Networks</t>
  </si>
  <si>
    <t xml:space="preserve">I. A. K. Shati; M. F. S. Gernaz; R. S. S. Jernz; A. S. A. Arfa</t>
  </si>
  <si>
    <t xml:space="preserve">2026 IEEE International conference on Advanced Systems and Emergent Technologies (IC_ASET)</t>
  </si>
  <si>
    <t xml:space="preserve">10.1109/IC_ASET69920.2026.11502423</t>
  </si>
  <si>
    <t xml:space="preserve">Hybrid K-Means-PCA Framework for Geospatial Crime Prediction Using a Machine Learning Attention Based Model</t>
  </si>
  <si>
    <t xml:space="preserve">M. H. Hafiz; U. A. Saputro</t>
  </si>
  <si>
    <t xml:space="preserve">2025 2nd Beyond Technology Summit on Informatics International Conference (BTS-I2C)</t>
  </si>
  <si>
    <t xml:space="preserve">10.1109/BTS-I2C67944.2025.11399506</t>
  </si>
  <si>
    <t xml:space="preserve">Future-Proof: An Application of AI to Multi-Agent Cyber Defence System for Predictive Threat Analysis</t>
  </si>
  <si>
    <t xml:space="preserve">N. S. K. Chakravarthy; J. S. Rao; G. V; J. S; M. B. P; J. Ali Ibrahim Syed Masood</t>
  </si>
  <si>
    <t xml:space="preserve">2025 International Conference on Emerging Research in Computational Science (ICERCS)</t>
  </si>
  <si>
    <t xml:space="preserve">10.1109/ICERCS65898.2025.11581040</t>
  </si>
  <si>
    <t xml:space="preserve">A Comprehensive Review of Anomaly Detection Techniques for Insider Threat Identification</t>
  </si>
  <si>
    <t xml:space="preserve">B. Bhoi; G. Jethava; S. Jethava</t>
  </si>
  <si>
    <t xml:space="preserve">2026 International Conference on AI-Driven Smart Systems and Ubiquitous Computing (ICAUC)</t>
  </si>
  <si>
    <t xml:space="preserve">10.1109/ICAUC68182.2026.11440999</t>
  </si>
  <si>
    <t xml:space="preserve">Cybersecurity Threat Intelligence Automated via Machine Learning: A System for Analyzing and Responding to Data in Real-Time</t>
  </si>
  <si>
    <t xml:space="preserve">S. Muthu; P. Deepalakshmi</t>
  </si>
  <si>
    <t xml:space="preserve">2025 3rd International Conference on Advancement in Computation &amp; Computer Technologies (InCACCT)</t>
  </si>
  <si>
    <t xml:space="preserve">10.1109/InCACCT65424.2025.11011386</t>
  </si>
  <si>
    <t xml:space="preserve">Hybrid AI for Predictive Cyber Risk Assessment: Federated Graph-Transformer Architecture With Explainability</t>
  </si>
  <si>
    <t xml:space="preserve">J. Govea; R. Gutierrez; W. Villegas-Ch; A. Maldonado Navarro</t>
  </si>
  <si>
    <t xml:space="preserve">10.1109/ACCESS.2025.3588076</t>
  </si>
  <si>
    <t xml:space="preserve">SoK: AI-Driven Security Threats in 6G Networks</t>
  </si>
  <si>
    <t xml:space="preserve">M. A. Jawad; N. H. Antu</t>
  </si>
  <si>
    <t xml:space="preserve">2026 3rd International Conference on Algorithms, Software Engineering and Network Security (ASENS)</t>
  </si>
  <si>
    <t xml:space="preserve">10.1109/ASENS69964.2026.11605271</t>
  </si>
  <si>
    <t xml:space="preserve">Securing Data-Driven Cognitive V2G Charging: Edge Intelligence and Cybersecurity for Trusted EV Energy Exchange</t>
  </si>
  <si>
    <t xml:space="preserve">M. Makrynioti; G. Lazaridis; G. Spanos; G. Stavropoulos; P. Chatzimisios; S. Canale; E. Stallone; K. Votis; D. Tzovaras</t>
  </si>
  <si>
    <t xml:space="preserve">2025 IEEE International Conference on Big Data (BigData)</t>
  </si>
  <si>
    <t xml:space="preserve">10.1109/BigData66926.2025.11402134</t>
  </si>
  <si>
    <t xml:space="preserve">A Survey of ML Approaches for Anomaly Detection in cybersecurity With a Recommendation for Practical Deployment</t>
  </si>
  <si>
    <t xml:space="preserve">A. S. Raj; P. N</t>
  </si>
  <si>
    <t xml:space="preserve">2026 Fourth International Conference on Secure Cyber Computing and Communications (ICSCCC)</t>
  </si>
  <si>
    <t xml:space="preserve">10.1109/ICSCCC69031.2026.11600228</t>
  </si>
  <si>
    <t xml:space="preserve">Enhancing Cyber Resilience: Innovations in AI-Driven Security and Digital Trust</t>
  </si>
  <si>
    <t xml:space="preserve">T. Al Ali; K. Alzarooni</t>
  </si>
  <si>
    <t xml:space="preserve">2025 3rd International Conference on Cyber Resilience (ICCR)</t>
  </si>
  <si>
    <t xml:space="preserve">10.1109/ICCR67387.2025.11291674</t>
  </si>
  <si>
    <t xml:space="preserve">CoopGBFS: A Federated Learning and Game-Theoretic-Based Approach for Personalized Security, Recommendation in 5G Beyond IoT Environments for Consumer Electronics</t>
  </si>
  <si>
    <t xml:space="preserve">M. Shafiq; R. Yadav; A. R. Javed; S. A. H. Mohsan</t>
  </si>
  <si>
    <t xml:space="preserve">10.1109/TCE.2023.3305508</t>
  </si>
  <si>
    <t xml:space="preserve">Personalised security recommendation, not intrusion detection</t>
  </si>
  <si>
    <t xml:space="preserve">Real-Time Privacy Guardianship in XR Metaverses via AI-Driven Behavioral Analytics</t>
  </si>
  <si>
    <t xml:space="preserve">R. Kalia; S. Kumar; S. K. Singh; S. Sharma; K. T. Chui; B. B. Gupta</t>
  </si>
  <si>
    <t xml:space="preserve">2026 IEEE 5th International Conference on Intelligent Reality (ICIR)</t>
  </si>
  <si>
    <t xml:space="preserve">10.1109/ICIR70631.2026.11628368</t>
  </si>
  <si>
    <t xml:space="preserve">Explainable Federated Framework for Enhanced Security and Privacy in Connected Vehicles Against Advanced Persistent Threats</t>
  </si>
  <si>
    <t xml:space="preserve">S. K. G. K; K. P. K; B. Muniyal; M. Rajarajan</t>
  </si>
  <si>
    <t xml:space="preserve">IEEE Open Journal of Vehicular Technology</t>
  </si>
  <si>
    <t xml:space="preserve">10.1109/OJVT.2025.3576366</t>
  </si>
  <si>
    <t xml:space="preserve">Adversarial Threats to Cloud IDS: Robust Defense With Adversarial Training and Feature Selection</t>
  </si>
  <si>
    <t xml:space="preserve">H. Holla; S. R. Polepalli; A. A. Sasikumar</t>
  </si>
  <si>
    <t xml:space="preserve">10.1109/ACCESS.2025.3567038</t>
  </si>
  <si>
    <t xml:space="preserve">Leveraging AI Agents for Enhanced Cybersecurity in IoT-Enabled Banking and Fintech Systems a Framework for Secure Digital Transactions</t>
  </si>
  <si>
    <t xml:space="preserve">P. R. K. Bollipalli</t>
  </si>
  <si>
    <t xml:space="preserve">2025 9th International Conference on I-SMAC (IoT in Social, Mobile, Analytics and Cloud) (I-SMAC)</t>
  </si>
  <si>
    <t xml:space="preserve">10.1109/I-SMAC65734.2025.11597821</t>
  </si>
  <si>
    <t xml:space="preserve">Advancing Data Fusion and Knowledge Discovery Techniques for Modern IT Systems</t>
  </si>
  <si>
    <t xml:space="preserve">2025 6th International Conference for Emerging Technology (INCET)</t>
  </si>
  <si>
    <t xml:space="preserve">10.1109/INCET64471.2025.11140076</t>
  </si>
  <si>
    <t xml:space="preserve">Deep Learning-Based Steganalysis and Zero-Day Exploit Detection of Hidden Malware and Adversarial Deception Attacks - A Survey</t>
  </si>
  <si>
    <t xml:space="preserve">J. D. Vaz; L. I. Serrao; D. K. Goswami; M. K. D'Costa; K. M. C. Kumar</t>
  </si>
  <si>
    <t xml:space="preserve">2025 1st International Conference on Advancement in Futuristic Technologies (ICAFT)</t>
  </si>
  <si>
    <t xml:space="preserve">10.1109/ICAFT66710.2025.11453199</t>
  </si>
  <si>
    <t xml:space="preserve">Predictive Cybersecurity Using AI-Powered Big Data Analysis in Cloud Infrastructures for DDOS Attacks Detection</t>
  </si>
  <si>
    <t xml:space="preserve">G. Yadav; N. D. Bhandarwar; S. Mathur; M. M. Rahman; M. S. Soumik</t>
  </si>
  <si>
    <t xml:space="preserve">2026 World Conference on Computational Science and Technology (WcCST)</t>
  </si>
  <si>
    <t xml:space="preserve">10.1109/WcCST67302.2026.11495840</t>
  </si>
  <si>
    <t xml:space="preserve">Machine Learning for Cyber Threat Detection in Cloud Computing: Trends, Challenges, and Future Directions</t>
  </si>
  <si>
    <t xml:space="preserve">A. H. Mohamud; A. A. Khalif; A. Hirsi; M. E. Ahmed; J. I. Mohamed; M. A. Aden; M. O. Omar; S. Ahmed</t>
  </si>
  <si>
    <t xml:space="preserve">2026 1st International Conference on Innovations in Information and Communication Technologies (IICT)</t>
  </si>
  <si>
    <t xml:space="preserve">10.1109/IICT68374.2026.11468823</t>
  </si>
  <si>
    <t xml:space="preserve">Ethical AI for Cybersecurity: A Framework for Balancing Innovation and Regulation</t>
  </si>
  <si>
    <t xml:space="preserve">K. C. Chaganti</t>
  </si>
  <si>
    <t xml:space="preserve">2025 International Conference on Computing Technologies &amp; Data Communication (ICCTDC)</t>
  </si>
  <si>
    <t xml:space="preserve">10.1109/ICCTDC64446.2025.11158962</t>
  </si>
  <si>
    <t xml:space="preserve">A Novel Collaborative SRU Network With Dynamic Behaviour Aggregation, Reduced Communication Overhead and Explainable Features</t>
  </si>
  <si>
    <t xml:space="preserve">I. A. Khan; I. Razzak; D. Pi; U. Zia; S. Kamal; Y. Hussain</t>
  </si>
  <si>
    <t xml:space="preserve">IEEE Journal of Biomedical and Health Informatics</t>
  </si>
  <si>
    <t xml:space="preserve">10.1109/JBHI.2024.3352013</t>
  </si>
  <si>
    <t xml:space="preserve">A Network Traffic Anomaly Detection Method Based on Hybrid Spatial-Temporal Networks and BYOL</t>
  </si>
  <si>
    <t xml:space="preserve">C. Zhong; L. Tang; X. Wang; L. Xu; G. Gong; Z. Sun</t>
  </si>
  <si>
    <t xml:space="preserve">2025 37th Chinese Control and Decision Conference (CCDC)</t>
  </si>
  <si>
    <t xml:space="preserve">10.1109/CCDC65474.2025.11090802</t>
  </si>
  <si>
    <t xml:space="preserve">A Machine Learning-Based Framework for Evil Twin Attack Detection and Mitigation in IEEE 802.11 Wireless Networks</t>
  </si>
  <si>
    <t xml:space="preserve">V. Kumar; V. Manaee; R. Nirala</t>
  </si>
  <si>
    <t xml:space="preserve">2025 International Conference on Emerging Technologies and Innovation for Sustainability (EmergIN)</t>
  </si>
  <si>
    <t xml:space="preserve">10.1109/EmergIN67762.2025.11450790</t>
  </si>
  <si>
    <t xml:space="preserve">Multi Model AI Driven Digital Twin with Blockchain for Management and Transparent Predictive Health Analytics</t>
  </si>
  <si>
    <t xml:space="preserve">P. Ghadekar; R. Mane; M. Mane; J. Joy; P. Kharate; S. Kudale</t>
  </si>
  <si>
    <t xml:space="preserve">2026 International Conference on Data Science and Business Systems (ICDSBS)</t>
  </si>
  <si>
    <t xml:space="preserve">10.1109/ICDSBS69077.2026.11634908</t>
  </si>
  <si>
    <t xml:space="preserve">AI-Augmented Framework for Securing Heterogeneous IoT Ecosystems: Challenges and Interoperability Solutions</t>
  </si>
  <si>
    <t xml:space="preserve">C. Sandeep; S. Martha</t>
  </si>
  <si>
    <t xml:space="preserve">2025 IEEE International Conference on Smart Power, Energy, Renewables, and Transportation (SPERT)</t>
  </si>
  <si>
    <t xml:space="preserve">10.1109/SPERT67079.2025.11469731</t>
  </si>
  <si>
    <t xml:space="preserve">Zero Trust Architectures Empowered by AI: A Paradigm Shift in Cloud and Edge Cybersecurity</t>
  </si>
  <si>
    <t xml:space="preserve">P. S N; A. Pimpalkar; N. Shelke; D. K. J. Bahadur Saini</t>
  </si>
  <si>
    <t xml:space="preserve">2025 3rd International Conference on Sustainable Computing and Data Communication Systems (ICSCDS)</t>
  </si>
  <si>
    <t xml:space="preserve">10.1109/ICSCDS65426.2025.11166875</t>
  </si>
  <si>
    <t xml:space="preserve">Real-Time Cyber Threat Intelligence Detection and Response Using Federated Machine Learning for Threat Classification</t>
  </si>
  <si>
    <t xml:space="preserve">D. Prajapati; Punitha.K; D. M; R. R</t>
  </si>
  <si>
    <t xml:space="preserve">10.1109/IC-ICNS68863.2026.11537408</t>
  </si>
  <si>
    <t xml:space="preserve">CausalLLM-GENDEF: A Graph-Causal Hybrid Framework for Real-Time Detection and Attribution of Distributed Brute Force Attacks</t>
  </si>
  <si>
    <t xml:space="preserve">A. Gupta; B. S; A. Kumari; S. P</t>
  </si>
  <si>
    <t xml:space="preserve">2025 IEEE Pune Section International Conference (PuneCon)</t>
  </si>
  <si>
    <t xml:space="preserve">10.1109/PuneCon67554.2025.11378347</t>
  </si>
  <si>
    <t xml:space="preserve">LLM-Guarded Clouds: Leveraging Generative AI for Proactive Threat Hunting and Adaptive Defense in Hybrid Cloud Environments</t>
  </si>
  <si>
    <t xml:space="preserve">S. Saklani; D. K. Chohan; R. Sharma; N. Varshney; A. Gupta; P. Bagla</t>
  </si>
  <si>
    <t xml:space="preserve">2025 IEEE 6th Global Conference for Advancement in Technology (GCAT)</t>
  </si>
  <si>
    <t xml:space="preserve">10.1109/GCAT66372.2025.11368582</t>
  </si>
  <si>
    <t xml:space="preserve">LG-FAL: Locality-customized GSA Federated Active Learning</t>
  </si>
  <si>
    <t xml:space="preserve">S. Wang; X. Zhu</t>
  </si>
  <si>
    <t xml:space="preserve">2024 IEEE International Conference on Knowledge Graph (ICKG)</t>
  </si>
  <si>
    <t xml:space="preserve">10.1109/ICKG63256.2024.00056</t>
  </si>
  <si>
    <t xml:space="preserve">A Survey on Distributed AI Systems: Architectures, Strategies, and Applications</t>
  </si>
  <si>
    <t xml:space="preserve">A. K. Poddar; A. Mayank; A. S. Prabhu; G. D. Krishan; A. K. P</t>
  </si>
  <si>
    <t xml:space="preserve">10.1109/CISES66934.2025.11265398</t>
  </si>
  <si>
    <t xml:space="preserve">Improved Threat Intelligence and Real-Time Protection with Next-Generation Firewall Solutions: Artificial Intelligence and Deep Learning</t>
  </si>
  <si>
    <t xml:space="preserve">V. K. Pentela; P. Deepalakshmi</t>
  </si>
  <si>
    <t xml:space="preserve">10.1109/GINOTECH63460.2025.11077005</t>
  </si>
  <si>
    <t xml:space="preserve">A Survey on Emerging Trends and Challenges in Machine Learning-Based Anomaly Detection for Cyber-Physical Systems</t>
  </si>
  <si>
    <t xml:space="preserve">P. Umorya; M. Dhingra</t>
  </si>
  <si>
    <t xml:space="preserve">2026 1st International Conference on AI, Data Science, Cyber Security and Smart Manufacturing for Sustainable Development (ICADCS)</t>
  </si>
  <si>
    <t xml:space="preserve">10.1109/ICADCS70036.2026.11583052</t>
  </si>
  <si>
    <t xml:space="preserve">Zero-Day Attack Prediction Using Hybrid ML Models in Cloud-Connected IoT</t>
  </si>
  <si>
    <t xml:space="preserve">M. R; R. Saminathan; P. R</t>
  </si>
  <si>
    <t xml:space="preserve">2025 International Conference on Innovations and Emerging Technologies In AI &amp; Communication Systems (IETACS)</t>
  </si>
  <si>
    <t xml:space="preserve">10.1109/IETACS68750.2025.11385464</t>
  </si>
  <si>
    <t xml:space="preserve">5G Cybersecurity Paradigm: Quantum Computing Threats and Artificial Intelligence-Driven Defenses</t>
  </si>
  <si>
    <t xml:space="preserve">K. Cherladine; B. R. Rallabandi</t>
  </si>
  <si>
    <t xml:space="preserve">2025 IEEE Connecting the Unconnected Europe, Middle East, and Africa Regional Summit (CTUS-EMEA)</t>
  </si>
  <si>
    <t xml:space="preserve">10.1109/CTUS-EMEA68989.2025.11592291</t>
  </si>
  <si>
    <t xml:space="preserve">Explainable Cross Attention LSTM Framework for Predictive Maintenance in Internet of Vehicles Systems</t>
  </si>
  <si>
    <t xml:space="preserve">2026 International Conference on Recent Advances in Electrical, Electronics, Ubiquitous Communication, and Computational Intelligence (RAEEUCCI)</t>
  </si>
  <si>
    <t xml:space="preserve">10.1109/RAEEUCCI67649.2026.11504664</t>
  </si>
  <si>
    <t xml:space="preserve">LLM-Driven APT Detection for 6G Wireless Networks: A Systematic Review and Taxonomy</t>
  </si>
  <si>
    <t xml:space="preserve">M. Golec; Y. Khamayseh; S. B. Melhem; A. Alwarafy</t>
  </si>
  <si>
    <t xml:space="preserve">10.1109/ACCESS.2025.3595665</t>
  </si>
  <si>
    <t xml:space="preserve">Automating Digital Forensic Investigations: The Impact of Machine Learning on Electronic Evidence</t>
  </si>
  <si>
    <t xml:space="preserve">R. Mahajan; K. Pandit</t>
  </si>
  <si>
    <t xml:space="preserve">2025 17th International Conference on Electronics, Computers and Artificial Intelligence (ECAI)</t>
  </si>
  <si>
    <t xml:space="preserve">10.1109/ECAI65401.2025.11095588</t>
  </si>
  <si>
    <t xml:space="preserve">ROBUST-6G: Smart, Automated, and Reliable Security Service Platform for 6G</t>
  </si>
  <si>
    <t xml:space="preserve">B. Siniarski; C. Sandeepa; S. Wang; M. Liyanage; C. Ayyildiz; V. C. Yildirim; H. Alakoca; F. G. Kesik; B. G. Paltun; G. Perin; M. Rossi; S. Tomasin; A. Chorti; P. G. Giardina; A. G. Pércz; J. M. Jorquera Valero; T. Svensson; N. Pappas; M. Kountouris</t>
  </si>
  <si>
    <t xml:space="preserve">2024 Fifteenth International Conference on Ubiquitous and Future Networks (ICUFN)</t>
  </si>
  <si>
    <t xml:space="preserve">10.1109/ICUFN61752.2024.10624832</t>
  </si>
  <si>
    <t xml:space="preserve">Real-Time Anomaly Detection in Cloud Data Streams: a Survey of Techniques, Challenges, and Future Directions</t>
  </si>
  <si>
    <t xml:space="preserve">A. Mohammed; A. A. Mohsen</t>
  </si>
  <si>
    <t xml:space="preserve">2026 International Conference on Digital Transformation, Innovation &amp; Sustainable Development (DTISD)</t>
  </si>
  <si>
    <t xml:space="preserve">10.1109/DTISD69661.2026.11668120</t>
  </si>
  <si>
    <t xml:space="preserve">AI-on-RAN for Cyber Defense: An XAI-LLM Framework for Interpretable Anomaly Detection</t>
  </si>
  <si>
    <t xml:space="preserve">S. Chatzimiltis; M. Shojafar; M. B. Mashhadi; R. Tafazolli</t>
  </si>
  <si>
    <t xml:space="preserve">10.1109/TNSE.2025.3629983</t>
  </si>
  <si>
    <t xml:space="preserve">Tech Innovations &amp; Dataset Analysis to Combat Fake Accounts in Digital Communities</t>
  </si>
  <si>
    <t xml:space="preserve">R. Rani; K. K. Yogi; S. P. Yadav</t>
  </si>
  <si>
    <t xml:space="preserve">2024 2nd International Conference on Disruptive Technologies (ICDT)</t>
  </si>
  <si>
    <t xml:space="preserve">10.1109/ICDT61202.2024.10489275</t>
  </si>
  <si>
    <t xml:space="preserve">Fake-account detection, not intrusion detection</t>
  </si>
  <si>
    <t xml:space="preserve">Big Data Analysis on Cloud and Edge Systems in the Automotive Industry: A Brief Review</t>
  </si>
  <si>
    <t xml:space="preserve">M. A. Mercioni; C. Daniel Căleanu; M. Gaianu; D. Pescaru</t>
  </si>
  <si>
    <t xml:space="preserve">2026 International Conference on Development and Application Systems (DAS)</t>
  </si>
  <si>
    <t xml:space="preserve">10.1109/DAS69882.2026.11553306</t>
  </si>
  <si>
    <t xml:space="preserve">AI Accountability Frameworks in Global Regulatory Environments: Ensuring Transparency and Legal Integrity</t>
  </si>
  <si>
    <t xml:space="preserve">A. L. Yadav; P. Rana; S. Kumar; R. Kaur; V. Gupta</t>
  </si>
  <si>
    <t xml:space="preserve">10.1109/TQCEBT67648.2026.11681395</t>
  </si>
  <si>
    <t xml:space="preserve">Leveraging Generative AI And Reinforcement Learning For Autonomous Cyber Threat Mitigation</t>
  </si>
  <si>
    <t xml:space="preserve">V. Gudur; S. K. Ramavath</t>
  </si>
  <si>
    <t xml:space="preserve">10.1109/ICAIC67076.2026.11395822</t>
  </si>
  <si>
    <t xml:space="preserve">AI-Augmented DevSecOps Pipelines for Secure and Scalable Service-Oriented Architectures in Cloud-Native Systems</t>
  </si>
  <si>
    <t xml:space="preserve">A. Mittal</t>
  </si>
  <si>
    <t xml:space="preserve">2025 IEEE International Conference on Service-Oriented System Engineering (SOSE)</t>
  </si>
  <si>
    <t xml:space="preserve">10.1109/SOSE67019.2025.00014</t>
  </si>
  <si>
    <t xml:space="preserve">AI-Driven Analysis and Mitigation of Control-Plane Signaling Anomalies in Next-Generation Mobile Networks</t>
  </si>
  <si>
    <t xml:space="preserve">G. Prince; R. Prabhavathi Neelakandan</t>
  </si>
  <si>
    <t xml:space="preserve">10.1109/ACCESS.2026.3653961</t>
  </si>
  <si>
    <t xml:space="preserve">An AI-Driven Intelligent Threat-Responsive Shard Management System ITRSMS for Adaptive Cloud Security</t>
  </si>
  <si>
    <t xml:space="preserve">P. V; J. A. Gnanaselvi</t>
  </si>
  <si>
    <t xml:space="preserve">2025 International Conference on Frontier Technologies and Solutions (ICFTS)</t>
  </si>
  <si>
    <t xml:space="preserve">10.1109/ICFTS62006.2025.11031848</t>
  </si>
  <si>
    <t xml:space="preserve">Adaptive Threat Detection: Leveraging Machine Learning for Real-Time Cybersecurity</t>
  </si>
  <si>
    <t xml:space="preserve">S. Sharma; P. Tripathy; S. Yadav; S. Mohapatra; P. Singh</t>
  </si>
  <si>
    <t xml:space="preserve">2024 International Conference on Advances in Computing, Communication and Materials (ICACCM)</t>
  </si>
  <si>
    <t xml:space="preserve">10.1109/ICACCM61117.2024.11059081</t>
  </si>
  <si>
    <t xml:space="preserve">Enhancing Endpoint Security Through AI Powered Anomaly Detection in Endpoint Logs using Local Outlier Factor (LOF)</t>
  </si>
  <si>
    <t xml:space="preserve">A. B. Mohideen; P. Krishna Sai; Y. S. Basha; S. Sohel; Y. V. Reddy</t>
  </si>
  <si>
    <t xml:space="preserve">2025 6th International Conference on Intelligent Communication Technologies and Virtual Mobile Networks (ICICV)</t>
  </si>
  <si>
    <t xml:space="preserve">10.1109/ICICV64824.2025.11085490</t>
  </si>
  <si>
    <t xml:space="preserve">Machine Learning for Cyber Threat Detection in Cloud Computing: A Systematic Literature Review</t>
  </si>
  <si>
    <t xml:space="preserve">A. Gunawan; Rudy</t>
  </si>
  <si>
    <t xml:space="preserve">2025 5th International Symposium on Materials and Electrical Engineering (ISMEE)</t>
  </si>
  <si>
    <t xml:space="preserve">10.1109/ISMEE68179.2025.11472897</t>
  </si>
  <si>
    <t xml:space="preserve">Artificial Intelligence Techniques for Smart Home Security: A Comprehensive Review</t>
  </si>
  <si>
    <t xml:space="preserve">P. P. Akula; G. A. Devi; P. Sivadurgarao; D. Mohanta; C. K. Yadav; M. Rakesh</t>
  </si>
  <si>
    <t xml:space="preserve">2026 International Conference on Signal, Systems, and Computing for Next-Gen Automation (ICSSCNA)</t>
  </si>
  <si>
    <t xml:space="preserve">10.1109/ICSSCNA68616.2026.11546773</t>
  </si>
  <si>
    <t xml:space="preserve">Ransomware Threats and Machine Learning-based Detection: A Review</t>
  </si>
  <si>
    <t xml:space="preserve">K.Karpagalakshmi; M. G. V. Kumar</t>
  </si>
  <si>
    <t xml:space="preserve">10.1109/ICPCSN68523.2026.11543717</t>
  </si>
  <si>
    <t xml:space="preserve">Agentic Intelligence for Unified Cyber Defense: A Self-Adaptive Framework for Threat Detection Across Cloud, Edge, and IoT Systems</t>
  </si>
  <si>
    <t xml:space="preserve">B. Vijetha</t>
  </si>
  <si>
    <t xml:space="preserve">10.1109/ACCESS.2026.3650833</t>
  </si>
  <si>
    <t xml:space="preserve">Next-Generation Cloud Security: A Bibliometric and Technical Analysis of Machine Learning and Deep Learning Approaches</t>
  </si>
  <si>
    <t xml:space="preserve">N. Saini</t>
  </si>
  <si>
    <t xml:space="preserve">2026 Silicon Valley Cybersecurity Conference (SVCC)</t>
  </si>
  <si>
    <t xml:space="preserve">10.1109/SVCC69905.2026.11642249</t>
  </si>
  <si>
    <t xml:space="preserve">Agentic AI in Cybersecurity Review of Autonomous Threat Detection and Adaptive Defense Mechanisms</t>
  </si>
  <si>
    <t xml:space="preserve">S. Panwar; H. Abdelrahman</t>
  </si>
  <si>
    <t xml:space="preserve">2025 International Conference on Computer and Applications (ICCA)</t>
  </si>
  <si>
    <t xml:space="preserve">10.1109/ICCA66035.2025.11431003</t>
  </si>
  <si>
    <t xml:space="preserve">AI-Powered IoT: A Survey on Integrating Artificial Intelligence With IoT for Enhanced Security, Efficiency, and Smart Applications</t>
  </si>
  <si>
    <t xml:space="preserve">V. M. U; V. Babu Kumaravelu; V. K. C; R. A; S. Chinnadurai; R. Venkatesan; H. Hai; P. Selvaprabhu</t>
  </si>
  <si>
    <t xml:space="preserve">10.1109/ACCESS.2025.3551750</t>
  </si>
  <si>
    <t xml:space="preserve">Context-Aware Security for Vehicles and Fleets: A Survey</t>
  </si>
  <si>
    <t xml:space="preserve">D. Grimm; M. Stang; E. Sax</t>
  </si>
  <si>
    <t xml:space="preserve">10.1109/ACCESS.2021.3097146</t>
  </si>
  <si>
    <t xml:space="preserve">Leveraging Graph Neural Networks for Dynamic Threat Detection in SDN</t>
  </si>
  <si>
    <t xml:space="preserve">C. Thumma; A. S. Sribhashyam; C. Tumma; N. Suresh; S. Gore; E. Tuba</t>
  </si>
  <si>
    <t xml:space="preserve">10.1109/ICICDS70526.2026.11604825</t>
  </si>
  <si>
    <t xml:space="preserve">Secure Net-LM: A Network-Embedded Lightweight Text Modeling Framework for Real-Time Cyber-Attack Detection in High-Speed Distributed Systems</t>
  </si>
  <si>
    <t xml:space="preserve">L. Raja; T. K; R. Dhanapal; M. Hemalatha; S. R; K. Palanisamy</t>
  </si>
  <si>
    <t xml:space="preserve">10.1109/ICERCS65898.2025.11580889</t>
  </si>
  <si>
    <t xml:space="preserve">Adaptive AI-Driven Zero-Trust Security for Cloud-Native Enterprise Systems</t>
  </si>
  <si>
    <t xml:space="preserve">A. S. Subahan; S. Ramamoorthy; M. Mylsamy; D. Maganti; H. Peddireddy; A. Pandey</t>
  </si>
  <si>
    <t xml:space="preserve">2026 International Conference on Secure Information Systems and Technologies (ICSIST)</t>
  </si>
  <si>
    <t xml:space="preserve">10.1109/ICSIST70215.2026.11706359</t>
  </si>
  <si>
    <t xml:space="preserve">Multi-Partner Project: CyberSecDome - Framework for Secure, Collaborative, and Privacy-Aware Incident Handling for Digital Infrastructure</t>
  </si>
  <si>
    <t xml:space="preserve">M. Hamad; M. Kühr; H. Mouratidis; E. -M. Kalogeraki; C. Gizelis; D. Papanikas; A. Bountioukos-Spinaris; C. Skandylas; E. Raptis; A. Alexopoulos; G. Chrysos; M. Marmpena; S. Politi; K. Lieros; P. Nikolaos; I. Xanthopoulos; S. Papastergiou; S. Ioannidis; M. Asplund; M. -O. Pahl; S. Steinhorst</t>
  </si>
  <si>
    <t xml:space="preserve">2025 Design, Automation &amp; Test in Europe Conference (DATE)</t>
  </si>
  <si>
    <t xml:space="preserve">10.23919/DATE64628.2025.10992768</t>
  </si>
  <si>
    <t xml:space="preserve">A Survey on Hybrid Deep Learning Models for Secure Healthcare Monitoring Using Edge Computing</t>
  </si>
  <si>
    <t xml:space="preserve">R. Vanitha; M.Thenmozhi</t>
  </si>
  <si>
    <t xml:space="preserve">2026 International Conference on Emerging Trends in Information, Communication &amp; Systems (ICETICS)</t>
  </si>
  <si>
    <t xml:space="preserve">10.1109/ICETICS69505.2026.11651226</t>
  </si>
  <si>
    <t xml:space="preserve">AI-Enabled Threat Detection and Cybersecurity Enhancement</t>
  </si>
  <si>
    <t xml:space="preserve">S. Pandhare; A. Jain; Jitendra; A. Dwivedi</t>
  </si>
  <si>
    <t xml:space="preserve">2026 IEEE 6th International Conference on Computing, Power, and Communication Technologies (IC2PCT)</t>
  </si>
  <si>
    <t xml:space="preserve">10.1109/IC2PCT68894.2026.11584481</t>
  </si>
  <si>
    <t xml:space="preserve">Blockchain-Integrated Zero-Trust Architectures for Cybersecurity in IoT Ecosystems</t>
  </si>
  <si>
    <t xml:space="preserve">Apurva; D.Vetrithangam</t>
  </si>
  <si>
    <t xml:space="preserve">10.1109/GCAT66372.2025.11368384</t>
  </si>
  <si>
    <t xml:space="preserve">A Multi-Layered AI-Driven Cybersecurity Architecture: Integrating Entropy Analytics, Fuzzy Reasoning, Game Theory, and Multi-Agent Reinforcement Learning for Adaptive Threat Defense</t>
  </si>
  <si>
    <t xml:space="preserve">E. F. Siddiqui; M. Haleem; S. F. Ahmad; A. Salhi; A. T. Zamani; N. Varish</t>
  </si>
  <si>
    <t xml:space="preserve">10.1109/ACCESS.2025.3610526</t>
  </si>
  <si>
    <t xml:space="preserve">IoT Detection and Classification Techniques: A Review of Algorithms and Applications</t>
  </si>
  <si>
    <t xml:space="preserve">M. B. Mortatha; D. Abdulhade Abdulah</t>
  </si>
  <si>
    <t xml:space="preserve">2026 VII International Conference on Neural Networks and Neurotechnologies (NeuroNT)</t>
  </si>
  <si>
    <t xml:space="preserve">10.1109/NeuroNT71829.2026.11651420</t>
  </si>
  <si>
    <t xml:space="preserve">Man-in-the-Middle attack Explainer for Fog computing using Soft Actor Critic Q-Learning Approach</t>
  </si>
  <si>
    <t xml:space="preserve">B. K; S. G. Shiva</t>
  </si>
  <si>
    <t xml:space="preserve">2022 IEEE World AI IoT Congress (AIIoT)</t>
  </si>
  <si>
    <t xml:space="preserve">10.1109/AIIoT54504.2022.9817151</t>
  </si>
  <si>
    <t xml:space="preserve">AGLHunter: Automated Threat Hunting Using In-Context Learning-Enhanced LLM</t>
  </si>
  <si>
    <t xml:space="preserve">M. Cui; Z. Jiang; Y. Yao; C. Ma; Q. He; P. Yang; H. Feng</t>
  </si>
  <si>
    <t xml:space="preserve">2025 28th International Conference on Computer Supported Cooperative Work in Design (CSCWD)</t>
  </si>
  <si>
    <t xml:space="preserve">10.1109/CSCWD64889.2025.11033364</t>
  </si>
  <si>
    <t xml:space="preserve">Machine Learning Driven Intelligent Cyber Defense Threat Detection in Medical Imaging: A Review on Methods, Challenges, and Future Prospects</t>
  </si>
  <si>
    <t xml:space="preserve">S. Moligi; R. Dadi; V. V. Atluri</t>
  </si>
  <si>
    <t xml:space="preserve">10.1109/ICCCES62661.2026.11437310</t>
  </si>
  <si>
    <t xml:space="preserve">AI-Powered Predictive Ransomware and Malware Detection for Edge and Cloud Systems</t>
  </si>
  <si>
    <t xml:space="preserve">S. N. Prajwalasimha; D. K. J. B. Saini; L. R. G. M. Reddy; S. Kolekar; F. Fenita; L. Monish</t>
  </si>
  <si>
    <t xml:space="preserve">2025 International Conference on NexGen Networks and Cybernetics (IC2NC)</t>
  </si>
  <si>
    <t xml:space="preserve">10.1109/IC2NC67409.2025.11376301</t>
  </si>
  <si>
    <t xml:space="preserve">CyberGuardX: AI-Optimized Real-Time Threat Detection and Alert System</t>
  </si>
  <si>
    <t xml:space="preserve">C. Konduru; B. P. Battula; P. Kopparapu; M. Kumaresan; N. Satheesh</t>
  </si>
  <si>
    <t xml:space="preserve">10.1109/TQCEBT67648.2026.11681923</t>
  </si>
  <si>
    <t xml:space="preserve">SecureNet-6G: Transformer and Hybrid Deep Learning Models with Optimized GNN for Adaptive Cyber Threat Detection and QoS in 5G and Beyond</t>
  </si>
  <si>
    <t xml:space="preserve">P. S. Bharathi; R. Tejaswi</t>
  </si>
  <si>
    <t xml:space="preserve">2025 Tenth International Conference on Science Technology Engineering and Mathematics (ICONSTEM)</t>
  </si>
  <si>
    <t xml:space="preserve">10.1109/ICONSTEM65670.2025.11374342</t>
  </si>
  <si>
    <t xml:space="preserve">XcARet: XAI based Green Security Architecture for Resilient Open Radio Access Networks in 6G</t>
  </si>
  <si>
    <t xml:space="preserve">P. Porambage; J. Pinola; Y. Rumesh; C. Tao; J. Huusko</t>
  </si>
  <si>
    <t xml:space="preserve">2023 Joint European Conference on Networks and Communications &amp; 6G Summit (EuCNC/6G Summit)</t>
  </si>
  <si>
    <t xml:space="preserve">10.1109/EuCNC/6GSummit58263.2023.10188316</t>
  </si>
  <si>
    <t xml:space="preserve">Autonomous Threat Mitigation Anomaly Detection in Cloud Environments: A Review of Machine Learning Approaches</t>
  </si>
  <si>
    <t xml:space="preserve">V. R; S. K</t>
  </si>
  <si>
    <t xml:space="preserve">10.1109/ICMSCI67830.2026.11469642</t>
  </si>
  <si>
    <t xml:space="preserve">AI-Enhanced GDPR Compliance in IoT Using Blockchain-Based Glass Box Security Framework</t>
  </si>
  <si>
    <t xml:space="preserve">K. Rajkumar; S. Harihar; S. Periyanayagam</t>
  </si>
  <si>
    <t xml:space="preserve">10.1109/ICSSS66939.2025.11346417</t>
  </si>
  <si>
    <t xml:space="preserve">Deep Learning-Based Cybersecurity-Enabled Fault and Attack Detection in Cyber-Physical Energy Systems: A Systematic Review</t>
  </si>
  <si>
    <t xml:space="preserve">R. Das; A. Debnath; A. Shufian</t>
  </si>
  <si>
    <t xml:space="preserve">2026 14th International Conference on Smart Grid (icSmartGrid)</t>
  </si>
  <si>
    <t xml:space="preserve">10.1109/icSmartGrid70882.2026.11680613</t>
  </si>
  <si>
    <t xml:space="preserve">AI-Enabled Human Activity Recognition—Bridging Contact-Based and RF-Based Contactless Sensing Paradigms: A Review</t>
  </si>
  <si>
    <t xml:space="preserve">T. Parveen; R. Khan; U. Saeed; I. Koo</t>
  </si>
  <si>
    <t xml:space="preserve">IEEE Sensors Journal</t>
  </si>
  <si>
    <t xml:space="preserve">10.1109/JSEN.2026.3671464</t>
  </si>
  <si>
    <t xml:space="preserve">Deep Learning Approaches for QoS-Aware Adaptive Routing in IoT Manets</t>
  </si>
  <si>
    <t xml:space="preserve">U. M; A. Saravanan R</t>
  </si>
  <si>
    <t xml:space="preserve">10.1109/ICSFT66733.2026.11507655</t>
  </si>
  <si>
    <t xml:space="preserve">Searching for Diamonds: Cross-Domain Opportunities in Cyber Threat Intelligence</t>
  </si>
  <si>
    <t xml:space="preserve">S. Barbieri; F. Luiz Dos Santos De Souza; M. Andrey Teixeira; C. Augusto Cavalheiro Marcondes; L. Alves Pereira</t>
  </si>
  <si>
    <t xml:space="preserve">10.1109/ACCESS.2025.3627126</t>
  </si>
  <si>
    <t xml:space="preserve">A Comprehensive Survey on Artificial Intelligence Empowered Edge Computing on Consumer Electronics</t>
  </si>
  <si>
    <t xml:space="preserve">J. -H. Syu; J. C. -W. Lin; G. Srivastava; K. Yu</t>
  </si>
  <si>
    <t xml:space="preserve">10.1109/TCE.2023.3318150</t>
  </si>
  <si>
    <t xml:space="preserve">DDoS Attack Detection in Consumer IoT-Based Healthcare Systems Using Improved Off-Policy Proximal Policy Optimization and Generative Adversarial Network</t>
  </si>
  <si>
    <t xml:space="preserve">J. Yang; V. Govindarajan; L. Y. Por; Z. A. Shaikh; Q. Xin; P. Bhattacharya; A. A. Khan; Y. Wang</t>
  </si>
  <si>
    <t xml:space="preserve">10.1109/TCE.2025.3605098</t>
  </si>
  <si>
    <t xml:space="preserve">Graph Neural Networks for Advanced Persistent Threat Detection</t>
  </si>
  <si>
    <t xml:space="preserve">S. D. Tumkur; M. G. Pushpa; S. B. Kurra; J. Yadav; S. Kashyap</t>
  </si>
  <si>
    <t xml:space="preserve">2025 IEEE 2nd International Conference on Cryptography, Informatics, and Cybersecurity (ICoCICs)</t>
  </si>
  <si>
    <t xml:space="preserve">10.1109/ICoCICs68032.2025.11384065</t>
  </si>
  <si>
    <t xml:space="preserve">Smart and Decentralized Security: AI and Blockchain Have a Synergistic to Future IoT</t>
  </si>
  <si>
    <t xml:space="preserve">G. Singh; K. Bhardwaj; G. Kaur; C. Pandey; B. Sharma; B. P. Kaur</t>
  </si>
  <si>
    <t xml:space="preserve">2026 IEEE International Conference for Convergence in Computing Technology (I3CTCON)</t>
  </si>
  <si>
    <t xml:space="preserve">10.1109/I3CTCON68242.2026.11507848</t>
  </si>
  <si>
    <t xml:space="preserve">Autonomous Cyber Resilience via a Co-Evolutionary Arms Race within a Fortified Digital Twin Sandbox</t>
  </si>
  <si>
    <t xml:space="preserve">Malikussaid; Sutiyo</t>
  </si>
  <si>
    <t xml:space="preserve">2025 International Symposium on Intelligent Signal Processing and Communication Systems (ISPACS)</t>
  </si>
  <si>
    <t xml:space="preserve">10.1109/ISPACS68724.2025.11383172</t>
  </si>
  <si>
    <t xml:space="preserve">Detecting False Data Injection Attacks in Smart Grids</t>
  </si>
  <si>
    <t xml:space="preserve">S. Sheeja Rani; M. Arnaud</t>
  </si>
  <si>
    <t xml:space="preserve">2026 International Symposium on Networks, Computers and Communications (ISNCC)</t>
  </si>
  <si>
    <t xml:space="preserve">10.1109/ISNCC70543.2026.11693876</t>
  </si>
  <si>
    <t xml:space="preserve">Web of Science</t>
  </si>
  <si>
    <t xml:space="preserve">FDRLIoT: Federated Deep Reinforcement Learning Architecture for Distributed IoT Intrusion Detection</t>
  </si>
  <si>
    <t xml:space="preserve">Guesmi, H; Saidane, LA</t>
  </si>
  <si>
    <t xml:space="preserve">ADVANCED INFORMATION NETWORKING AND APPLICATIONS, AINA-2026, VOL 2</t>
  </si>
  <si>
    <t xml:space="preserve">Proceedings Paper</t>
  </si>
  <si>
    <t xml:space="preserve">10.1007/978-3-032-23271-7_31</t>
  </si>
  <si>
    <t xml:space="preserve">ThreatFedChainAI: an adaptive edge blockchain architecture for big data-driven threat analytics in IoT networks</t>
  </si>
  <si>
    <t xml:space="preserve">Ashwini, N; Dava, S; Phanindra, AR; Kumar, GR; Rajkumar, KV; Sravanthi, N</t>
  </si>
  <si>
    <t xml:space="preserve">SCIENTIFIC REPORTS</t>
  </si>
  <si>
    <t xml:space="preserve">10.1038/s41598-025-31164-1</t>
  </si>
  <si>
    <t xml:space="preserve">Unveiling IoT ecosystem security: A review of intelligent IDS, trends, challenges, and future directions</t>
  </si>
  <si>
    <t xml:space="preserve">Kushwaha, JP; Bhadauria, S; Tapaswi, S</t>
  </si>
  <si>
    <t xml:space="preserve">COMPUTERS &amp; ELECTRICAL ENGINEERING</t>
  </si>
  <si>
    <t xml:space="preserve">10.1016/j.compeleceng.2025.110626</t>
  </si>
  <si>
    <t xml:space="preserve">AI-driven intrusion detection for UAV in Smart Urban ecosystems: A comprehensive survey</t>
  </si>
  <si>
    <t xml:space="preserve">Khanfor, A; Hamadi, R; Lasla, N; Ghazzai, H</t>
  </si>
  <si>
    <t xml:space="preserve">COMPUTER COMMUNICATIONS</t>
  </si>
  <si>
    <t xml:space="preserve">10.1016/j.comcom.2026.108435</t>
  </si>
  <si>
    <t xml:space="preserve">FedMedSecure: federated few-shot learning with cross-attention mechanisms and explainable AI for collaborative healthcare cybersecurity</t>
  </si>
  <si>
    <t xml:space="preserve">Tawfik, M; Abu-Ein, AA; Noaman, HM; Abdelhaliem, AH; Fathi, IS</t>
  </si>
  <si>
    <t xml:space="preserve">10.1038/s41598-025-25107-z</t>
  </si>
  <si>
    <t xml:space="preserve">Balancing the trilemma: a survey of federated anomaly detection for secure cyber-physical systems</t>
  </si>
  <si>
    <t xml:space="preserve">Pinto, A; Donoso, Y; Gutierrez, JA</t>
  </si>
  <si>
    <t xml:space="preserve">CYBERSECURITY</t>
  </si>
  <si>
    <t xml:space="preserve">10.1186/s42400-026-00567-6</t>
  </si>
  <si>
    <t xml:space="preserve">Toward using cyber threat intelligence with machine and deep learning for IoT security: a comprehensive study</t>
  </si>
  <si>
    <t xml:space="preserve">Lima, M; Viana, C; Santos, WRM; Neves, F; Campos, JR; Aires, F</t>
  </si>
  <si>
    <t xml:space="preserve">JOURNAL OF SUPERCOMPUTING</t>
  </si>
  <si>
    <t xml:space="preserve">10.1007/s11227-025-07850-2</t>
  </si>
  <si>
    <t xml:space="preserve">PRISMA-style counts (Scopus 30 Sep 2026; IEEE Xplore and Web of Science 1 Oct 2026)</t>
  </si>
  <si>
    <t xml:space="preserve">Stage</t>
  </si>
  <si>
    <t xml:space="preserve">Total</t>
  </si>
  <si>
    <t xml:space="preserve">Note</t>
  </si>
  <si>
    <t xml:space="preserve">Records identified</t>
  </si>
  <si>
    <t xml:space="preserve">Typed by hand from the database interfaces</t>
  </si>
  <si>
    <t xml:space="preserve">Not exported</t>
  </si>
  <si>
    <t xml:space="preserve">Outside 2019-2026</t>
  </si>
  <si>
    <t xml:space="preserve">WoS record dated 2027</t>
  </si>
  <si>
    <t xml:space="preserve">Duplicates removed (found in an earlier database)</t>
  </si>
  <si>
    <t xml:space="preserve">Matched by DOI or normalised title</t>
  </si>
  <si>
    <t xml:space="preserve">Records screened</t>
  </si>
  <si>
    <t xml:space="preserve">Excluded E1: review or survey</t>
  </si>
  <si>
    <t xml:space="preserve">Excluded E2: not intrusion detection</t>
  </si>
  <si>
    <t xml:space="preserve">Excluded E3: no FL or DP in the method</t>
  </si>
  <si>
    <t xml:space="preserve">Excluded E4: no experimental evaluation</t>
  </si>
  <si>
    <t xml:space="preserve">Excluded E5: neither XAI nor ontology/KG</t>
  </si>
  <si>
    <t xml:space="preserve">Retained after title/abstract screening</t>
  </si>
  <si>
    <t xml:space="preserve">Check: screened = excluded + retained</t>
  </si>
  <si>
    <t xml:space="preserve">Must be 0</t>
  </si>
  <si>
    <t xml:space="preserve">Databases</t>
  </si>
  <si>
    <t xml:space="preserve">Scopus (30 Sep 2026); IEEE Xplore and Web of Science Core Collection (1 Oct 2026); via UiTM EzAccess</t>
  </si>
  <si>
    <t xml:space="preserve">Scopus string</t>
  </si>
  <si>
    <t xml:space="preserve">TITLE-ABS-KEY ( "intrusion detection" ) AND TITLE-ABS-KEY ( "federated learning" OR "differential privacy" ) AND TITLE-ABS-KEY ( explainab* OR "SHAP" OR ontology OR "knowledge graph" ) AND PUBYEAR &gt; 2018 AND PUBYEAR &lt; 2027 AND ( LIMIT-TO ( LANGUAGE , "English" ) ) AND ( LIMIT-TO ( DOCTYPE , "ar" ) OR LIMIT-TO ( DOCTYPE , "cp" ) )</t>
  </si>
  <si>
    <t xml:space="preserve">IEEE Xplore string</t>
  </si>
  <si>
    <t xml:space="preserve">("All Metadata":"intrusion detection") AND ("All Metadata":"federated learning" OR "All Metadata":"differential privacy") AND ("All Metadata":explainab* OR "All Metadata":SHAP OR "All Metadata":ontology OR "All Metadata":"knowledge graph"); Conferences and Journals</t>
  </si>
  <si>
    <t xml:space="preserve">Web of Science string</t>
  </si>
  <si>
    <t xml:space="preserve">TS=("intrusion detection") AND TS=("federated learning" OR "differential privacy") AND TS=(explainab* OR SHAP OR ontology OR "knowledge graph"); Article and Proceedings Paper; English</t>
  </si>
  <si>
    <t xml:space="preserve">Screening</t>
  </si>
  <si>
    <t xml:space="preserve">Keyword rules on title, abstract and author keywords, manual decisions for borderline records (E2) and manual checks of key records by the AI assistant. MUST be confirmed by the author in the yellow columns before reporting.</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</si>
</sst>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sz val="10"/>
      <name val="Noto Sans CJK SC"/>
      <family val="2"/>
    </font>
    <font>
      <b val="true"/>
      <sz val="12"/>
      <name val="Arial"/>
      <family val="0"/>
      <charset val="1"/>
    </font>
    <font>
      <sz val="10"/>
      <color rgb="FF0000FF"/>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60"/>
    <col collapsed="false" customWidth="true" hidden="false" outlineLevel="0" max="4" min="4" style="0" width="30"/>
    <col collapsed="false" customWidth="true" hidden="false" outlineLevel="0" max="5" min="5" style="0" width="6"/>
    <col collapsed="false" customWidth="true" hidden="false" outlineLevel="0" max="6" min="6" style="0" width="28"/>
    <col collapsed="false" customWidth="true" hidden="false" outlineLevel="0" max="7" min="7" style="0" width="14"/>
    <col collapsed="false" customWidth="true" hidden="false" outlineLevel="0" max="8" min="8" style="0" width="24"/>
    <col collapsed="false" customWidth="true" hidden="false" outlineLevel="0" max="10" min="9" style="0" width="4"/>
    <col collapsed="false" customWidth="true" hidden="false" outlineLevel="0" max="11" min="11" style="0" width="5"/>
    <col collapsed="false" customWidth="true" hidden="false" outlineLevel="0" max="13" min="12" style="0" width="4"/>
    <col collapsed="false" customWidth="true" hidden="false" outlineLevel="0" max="14" min="14" style="0" width="10"/>
    <col collapsed="false" customWidth="true" hidden="false" outlineLevel="0" max="15" min="15" style="0" width="40"/>
    <col collapsed="false" customWidth="true" hidden="false" outlineLevel="0" max="16" min="16" style="0" width="10"/>
    <col collapsed="false" customWidth="true" hidden="false" outlineLevel="0" max="17" min="17" style="0" width="14"/>
    <col collapsed="false" customWidth="true" hidden="false" outlineLevel="0" max="18" min="18" style="0" width="30"/>
  </cols>
  <sheetData>
    <row r="1" customFormat="false" ht="52.2"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35.05" hidden="false" customHeight="false" outlineLevel="0" collapsed="false">
      <c r="A2" s="2" t="n">
        <v>1</v>
      </c>
      <c r="B2" s="2" t="s">
        <v>18</v>
      </c>
      <c r="C2" s="2" t="s">
        <v>19</v>
      </c>
      <c r="D2" s="2" t="s">
        <v>20</v>
      </c>
      <c r="E2" s="2" t="n">
        <v>2026</v>
      </c>
      <c r="F2" s="2" t="s">
        <v>21</v>
      </c>
      <c r="G2" s="2" t="s">
        <v>22</v>
      </c>
      <c r="H2" s="2" t="s">
        <v>23</v>
      </c>
      <c r="I2" s="2" t="s">
        <v>24</v>
      </c>
      <c r="J2" s="2"/>
      <c r="K2" s="2" t="s">
        <v>24</v>
      </c>
      <c r="L2" s="2"/>
      <c r="M2" s="2" t="s">
        <v>24</v>
      </c>
      <c r="N2" s="2" t="s">
        <v>25</v>
      </c>
      <c r="O2" s="2" t="s">
        <v>26</v>
      </c>
      <c r="P2" s="2"/>
      <c r="Q2" s="3"/>
      <c r="R2" s="3"/>
    </row>
    <row r="3" customFormat="false" ht="46.25" hidden="false" customHeight="false" outlineLevel="0" collapsed="false">
      <c r="A3" s="2" t="n">
        <v>2</v>
      </c>
      <c r="B3" s="2" t="s">
        <v>18</v>
      </c>
      <c r="C3" s="2" t="s">
        <v>27</v>
      </c>
      <c r="D3" s="2" t="s">
        <v>28</v>
      </c>
      <c r="E3" s="2" t="n">
        <v>2025</v>
      </c>
      <c r="F3" s="2" t="s">
        <v>29</v>
      </c>
      <c r="G3" s="2" t="s">
        <v>22</v>
      </c>
      <c r="H3" s="2" t="s">
        <v>30</v>
      </c>
      <c r="I3" s="2" t="s">
        <v>24</v>
      </c>
      <c r="J3" s="2"/>
      <c r="K3" s="2" t="s">
        <v>24</v>
      </c>
      <c r="L3" s="2"/>
      <c r="M3" s="2" t="s">
        <v>24</v>
      </c>
      <c r="N3" s="2" t="s">
        <v>25</v>
      </c>
      <c r="O3" s="2" t="s">
        <v>26</v>
      </c>
      <c r="P3" s="2"/>
      <c r="Q3" s="3"/>
      <c r="R3" s="3"/>
    </row>
    <row r="4" customFormat="false" ht="35.05" hidden="false" customHeight="false" outlineLevel="0" collapsed="false">
      <c r="A4" s="2" t="n">
        <v>3</v>
      </c>
      <c r="B4" s="2" t="s">
        <v>18</v>
      </c>
      <c r="C4" s="2" t="s">
        <v>31</v>
      </c>
      <c r="D4" s="2" t="s">
        <v>32</v>
      </c>
      <c r="E4" s="2" t="n">
        <v>2025</v>
      </c>
      <c r="F4" s="2" t="s">
        <v>33</v>
      </c>
      <c r="G4" s="2" t="s">
        <v>22</v>
      </c>
      <c r="H4" s="2" t="s">
        <v>34</v>
      </c>
      <c r="I4" s="2" t="s">
        <v>24</v>
      </c>
      <c r="J4" s="2"/>
      <c r="K4" s="2" t="s">
        <v>24</v>
      </c>
      <c r="L4" s="2"/>
      <c r="M4" s="2" t="s">
        <v>24</v>
      </c>
      <c r="N4" s="2" t="s">
        <v>35</v>
      </c>
      <c r="O4" s="2" t="s">
        <v>36</v>
      </c>
      <c r="P4" s="2"/>
      <c r="Q4" s="3"/>
      <c r="R4" s="3"/>
    </row>
    <row r="5" customFormat="false" ht="57.45" hidden="false" customHeight="false" outlineLevel="0" collapsed="false">
      <c r="A5" s="2" t="n">
        <v>4</v>
      </c>
      <c r="B5" s="2" t="s">
        <v>18</v>
      </c>
      <c r="C5" s="2" t="s">
        <v>37</v>
      </c>
      <c r="D5" s="2" t="s">
        <v>38</v>
      </c>
      <c r="E5" s="2" t="n">
        <v>2026</v>
      </c>
      <c r="F5" s="2" t="s">
        <v>39</v>
      </c>
      <c r="G5" s="2" t="s">
        <v>22</v>
      </c>
      <c r="H5" s="2" t="s">
        <v>40</v>
      </c>
      <c r="I5" s="2" t="s">
        <v>24</v>
      </c>
      <c r="J5" s="2"/>
      <c r="K5" s="2" t="s">
        <v>24</v>
      </c>
      <c r="L5" s="2"/>
      <c r="M5" s="2" t="s">
        <v>24</v>
      </c>
      <c r="N5" s="2" t="s">
        <v>35</v>
      </c>
      <c r="O5" s="2" t="s">
        <v>36</v>
      </c>
      <c r="P5" s="2"/>
      <c r="Q5" s="3"/>
      <c r="R5" s="3"/>
    </row>
    <row r="6" customFormat="false" ht="35.05" hidden="false" customHeight="false" outlineLevel="0" collapsed="false">
      <c r="A6" s="2" t="n">
        <v>5</v>
      </c>
      <c r="B6" s="2" t="s">
        <v>18</v>
      </c>
      <c r="C6" s="2" t="s">
        <v>41</v>
      </c>
      <c r="D6" s="2" t="s">
        <v>42</v>
      </c>
      <c r="E6" s="2" t="n">
        <v>2025</v>
      </c>
      <c r="F6" s="2" t="s">
        <v>43</v>
      </c>
      <c r="G6" s="2" t="s">
        <v>22</v>
      </c>
      <c r="H6" s="2" t="s">
        <v>44</v>
      </c>
      <c r="I6" s="2" t="s">
        <v>24</v>
      </c>
      <c r="J6" s="2"/>
      <c r="K6" s="2" t="s">
        <v>24</v>
      </c>
      <c r="L6" s="2"/>
      <c r="M6" s="2" t="s">
        <v>24</v>
      </c>
      <c r="N6" s="2" t="s">
        <v>35</v>
      </c>
      <c r="O6" s="2" t="s">
        <v>36</v>
      </c>
      <c r="P6" s="2"/>
      <c r="Q6" s="3"/>
      <c r="R6" s="3"/>
    </row>
    <row r="7" customFormat="false" ht="35.05" hidden="false" customHeight="false" outlineLevel="0" collapsed="false">
      <c r="A7" s="2" t="n">
        <v>6</v>
      </c>
      <c r="B7" s="2" t="s">
        <v>18</v>
      </c>
      <c r="C7" s="2" t="s">
        <v>45</v>
      </c>
      <c r="D7" s="2" t="s">
        <v>46</v>
      </c>
      <c r="E7" s="2" t="n">
        <v>2025</v>
      </c>
      <c r="F7" s="2" t="s">
        <v>47</v>
      </c>
      <c r="G7" s="2" t="s">
        <v>48</v>
      </c>
      <c r="H7" s="2" t="s">
        <v>49</v>
      </c>
      <c r="I7" s="2" t="s">
        <v>24</v>
      </c>
      <c r="J7" s="2" t="s">
        <v>24</v>
      </c>
      <c r="K7" s="2" t="s">
        <v>24</v>
      </c>
      <c r="L7" s="2"/>
      <c r="M7" s="2"/>
      <c r="N7" s="2" t="s">
        <v>35</v>
      </c>
      <c r="O7" s="2" t="s">
        <v>36</v>
      </c>
      <c r="P7" s="2"/>
      <c r="Q7" s="3"/>
      <c r="R7" s="3"/>
    </row>
    <row r="8" customFormat="false" ht="23.85" hidden="false" customHeight="false" outlineLevel="0" collapsed="false">
      <c r="A8" s="2" t="n">
        <v>7</v>
      </c>
      <c r="B8" s="2" t="s">
        <v>18</v>
      </c>
      <c r="C8" s="2" t="s">
        <v>50</v>
      </c>
      <c r="D8" s="2" t="s">
        <v>51</v>
      </c>
      <c r="E8" s="2" t="n">
        <v>2026</v>
      </c>
      <c r="F8" s="2" t="s">
        <v>52</v>
      </c>
      <c r="G8" s="2" t="s">
        <v>48</v>
      </c>
      <c r="H8" s="2" t="s">
        <v>53</v>
      </c>
      <c r="I8" s="2" t="s">
        <v>24</v>
      </c>
      <c r="J8" s="2"/>
      <c r="K8" s="2" t="s">
        <v>24</v>
      </c>
      <c r="L8" s="2"/>
      <c r="M8" s="2" t="s">
        <v>24</v>
      </c>
      <c r="N8" s="2" t="s">
        <v>35</v>
      </c>
      <c r="O8" s="2" t="s">
        <v>36</v>
      </c>
      <c r="P8" s="2"/>
      <c r="Q8" s="3"/>
      <c r="R8" s="3"/>
    </row>
    <row r="9" customFormat="false" ht="57.45" hidden="false" customHeight="false" outlineLevel="0" collapsed="false">
      <c r="A9" s="2" t="n">
        <v>8</v>
      </c>
      <c r="B9" s="2" t="s">
        <v>18</v>
      </c>
      <c r="C9" s="2" t="s">
        <v>54</v>
      </c>
      <c r="D9" s="2" t="s">
        <v>55</v>
      </c>
      <c r="E9" s="2" t="n">
        <v>2024</v>
      </c>
      <c r="F9" s="2" t="s">
        <v>56</v>
      </c>
      <c r="G9" s="2" t="s">
        <v>22</v>
      </c>
      <c r="H9" s="2" t="s">
        <v>57</v>
      </c>
      <c r="I9" s="2" t="s">
        <v>24</v>
      </c>
      <c r="J9" s="2" t="s">
        <v>24</v>
      </c>
      <c r="K9" s="2" t="s">
        <v>24</v>
      </c>
      <c r="L9" s="2"/>
      <c r="M9" s="2" t="s">
        <v>24</v>
      </c>
      <c r="N9" s="2" t="s">
        <v>25</v>
      </c>
      <c r="O9" s="2" t="s">
        <v>58</v>
      </c>
      <c r="P9" s="2"/>
      <c r="Q9" s="3"/>
      <c r="R9" s="3"/>
    </row>
    <row r="10" customFormat="false" ht="57.45" hidden="false" customHeight="false" outlineLevel="0" collapsed="false">
      <c r="A10" s="2" t="n">
        <v>9</v>
      </c>
      <c r="B10" s="2" t="s">
        <v>18</v>
      </c>
      <c r="C10" s="2" t="s">
        <v>59</v>
      </c>
      <c r="D10" s="2" t="s">
        <v>60</v>
      </c>
      <c r="E10" s="2" t="n">
        <v>2024</v>
      </c>
      <c r="F10" s="2" t="s">
        <v>61</v>
      </c>
      <c r="G10" s="2" t="s">
        <v>22</v>
      </c>
      <c r="H10" s="2" t="s">
        <v>62</v>
      </c>
      <c r="I10" s="2" t="s">
        <v>24</v>
      </c>
      <c r="J10" s="2"/>
      <c r="K10" s="2" t="s">
        <v>24</v>
      </c>
      <c r="L10" s="2"/>
      <c r="M10" s="2"/>
      <c r="N10" s="2" t="s">
        <v>35</v>
      </c>
      <c r="O10" s="2" t="s">
        <v>36</v>
      </c>
      <c r="P10" s="2"/>
      <c r="Q10" s="3"/>
      <c r="R10" s="3"/>
    </row>
    <row r="11" customFormat="false" ht="35.05" hidden="false" customHeight="false" outlineLevel="0" collapsed="false">
      <c r="A11" s="2" t="n">
        <v>10</v>
      </c>
      <c r="B11" s="2" t="s">
        <v>18</v>
      </c>
      <c r="C11" s="2" t="s">
        <v>63</v>
      </c>
      <c r="D11" s="2" t="s">
        <v>64</v>
      </c>
      <c r="E11" s="2" t="n">
        <v>2026</v>
      </c>
      <c r="F11" s="2" t="s">
        <v>65</v>
      </c>
      <c r="G11" s="2" t="s">
        <v>48</v>
      </c>
      <c r="H11" s="2" t="s">
        <v>66</v>
      </c>
      <c r="I11" s="2" t="s">
        <v>24</v>
      </c>
      <c r="J11" s="2"/>
      <c r="K11" s="2" t="s">
        <v>24</v>
      </c>
      <c r="L11" s="2"/>
      <c r="M11" s="2"/>
      <c r="N11" s="2" t="s">
        <v>35</v>
      </c>
      <c r="O11" s="2" t="s">
        <v>36</v>
      </c>
      <c r="P11" s="2"/>
      <c r="Q11" s="3"/>
      <c r="R11" s="3"/>
    </row>
    <row r="12" customFormat="false" ht="35.05" hidden="false" customHeight="false" outlineLevel="0" collapsed="false">
      <c r="A12" s="2" t="n">
        <v>11</v>
      </c>
      <c r="B12" s="2" t="s">
        <v>18</v>
      </c>
      <c r="C12" s="2" t="s">
        <v>67</v>
      </c>
      <c r="D12" s="2" t="s">
        <v>68</v>
      </c>
      <c r="E12" s="2" t="n">
        <v>2025</v>
      </c>
      <c r="F12" s="2" t="s">
        <v>69</v>
      </c>
      <c r="G12" s="2" t="s">
        <v>22</v>
      </c>
      <c r="H12" s="2" t="s">
        <v>70</v>
      </c>
      <c r="I12" s="2" t="s">
        <v>24</v>
      </c>
      <c r="J12" s="2"/>
      <c r="K12" s="2" t="s">
        <v>24</v>
      </c>
      <c r="L12" s="2"/>
      <c r="M12" s="2" t="s">
        <v>24</v>
      </c>
      <c r="N12" s="2" t="s">
        <v>35</v>
      </c>
      <c r="O12" s="2" t="s">
        <v>36</v>
      </c>
      <c r="P12" s="2"/>
      <c r="Q12" s="3"/>
      <c r="R12" s="3"/>
    </row>
    <row r="13" customFormat="false" ht="23.85" hidden="false" customHeight="false" outlineLevel="0" collapsed="false">
      <c r="A13" s="2" t="n">
        <v>12</v>
      </c>
      <c r="B13" s="2" t="s">
        <v>18</v>
      </c>
      <c r="C13" s="2" t="s">
        <v>71</v>
      </c>
      <c r="D13" s="2" t="s">
        <v>72</v>
      </c>
      <c r="E13" s="2" t="n">
        <v>2026</v>
      </c>
      <c r="F13" s="2" t="s">
        <v>73</v>
      </c>
      <c r="G13" s="2" t="s">
        <v>48</v>
      </c>
      <c r="H13" s="2" t="s">
        <v>74</v>
      </c>
      <c r="I13" s="2" t="s">
        <v>24</v>
      </c>
      <c r="J13" s="2"/>
      <c r="K13" s="2" t="s">
        <v>24</v>
      </c>
      <c r="L13" s="2"/>
      <c r="M13" s="2" t="s">
        <v>24</v>
      </c>
      <c r="N13" s="2" t="s">
        <v>35</v>
      </c>
      <c r="O13" s="2" t="s">
        <v>36</v>
      </c>
      <c r="P13" s="2"/>
      <c r="Q13" s="3"/>
      <c r="R13" s="3"/>
    </row>
    <row r="14" customFormat="false" ht="46.25" hidden="false" customHeight="false" outlineLevel="0" collapsed="false">
      <c r="A14" s="2" t="n">
        <v>13</v>
      </c>
      <c r="B14" s="2" t="s">
        <v>18</v>
      </c>
      <c r="C14" s="2" t="s">
        <v>75</v>
      </c>
      <c r="D14" s="2" t="s">
        <v>76</v>
      </c>
      <c r="E14" s="2" t="n">
        <v>2026</v>
      </c>
      <c r="F14" s="2" t="s">
        <v>77</v>
      </c>
      <c r="G14" s="2" t="s">
        <v>22</v>
      </c>
      <c r="H14" s="2" t="s">
        <v>78</v>
      </c>
      <c r="I14" s="2" t="s">
        <v>24</v>
      </c>
      <c r="J14" s="2"/>
      <c r="K14" s="2" t="s">
        <v>24</v>
      </c>
      <c r="L14" s="2"/>
      <c r="M14" s="2" t="s">
        <v>24</v>
      </c>
      <c r="N14" s="2" t="s">
        <v>35</v>
      </c>
      <c r="O14" s="2" t="s">
        <v>36</v>
      </c>
      <c r="P14" s="2"/>
      <c r="Q14" s="3"/>
      <c r="R14" s="3"/>
    </row>
    <row r="15" customFormat="false" ht="46.25" hidden="false" customHeight="false" outlineLevel="0" collapsed="false">
      <c r="A15" s="2" t="n">
        <v>14</v>
      </c>
      <c r="B15" s="2" t="s">
        <v>18</v>
      </c>
      <c r="C15" s="2" t="s">
        <v>79</v>
      </c>
      <c r="D15" s="2" t="s">
        <v>80</v>
      </c>
      <c r="E15" s="2" t="n">
        <v>2025</v>
      </c>
      <c r="F15" s="2" t="s">
        <v>81</v>
      </c>
      <c r="G15" s="2" t="s">
        <v>22</v>
      </c>
      <c r="H15" s="2" t="s">
        <v>82</v>
      </c>
      <c r="I15" s="2" t="s">
        <v>24</v>
      </c>
      <c r="J15" s="2"/>
      <c r="K15" s="2" t="s">
        <v>24</v>
      </c>
      <c r="L15" s="2"/>
      <c r="M15" s="2" t="s">
        <v>24</v>
      </c>
      <c r="N15" s="2" t="s">
        <v>35</v>
      </c>
      <c r="O15" s="2" t="s">
        <v>36</v>
      </c>
      <c r="P15" s="2"/>
      <c r="Q15" s="3"/>
      <c r="R15" s="3"/>
    </row>
    <row r="16" customFormat="false" ht="23.85" hidden="false" customHeight="false" outlineLevel="0" collapsed="false">
      <c r="A16" s="2" t="n">
        <v>15</v>
      </c>
      <c r="B16" s="2" t="s">
        <v>18</v>
      </c>
      <c r="C16" s="2" t="s">
        <v>83</v>
      </c>
      <c r="D16" s="2" t="s">
        <v>84</v>
      </c>
      <c r="E16" s="2" t="n">
        <v>2026</v>
      </c>
      <c r="F16" s="2" t="s">
        <v>85</v>
      </c>
      <c r="G16" s="2" t="s">
        <v>48</v>
      </c>
      <c r="H16" s="2" t="s">
        <v>86</v>
      </c>
      <c r="I16" s="2" t="s">
        <v>24</v>
      </c>
      <c r="J16" s="2"/>
      <c r="K16" s="2" t="s">
        <v>24</v>
      </c>
      <c r="L16" s="2"/>
      <c r="M16" s="2"/>
      <c r="N16" s="2" t="s">
        <v>35</v>
      </c>
      <c r="O16" s="2" t="s">
        <v>36</v>
      </c>
      <c r="P16" s="2"/>
      <c r="Q16" s="3"/>
      <c r="R16" s="3"/>
    </row>
    <row r="17" customFormat="false" ht="46.25" hidden="false" customHeight="false" outlineLevel="0" collapsed="false">
      <c r="A17" s="2" t="n">
        <v>16</v>
      </c>
      <c r="B17" s="2" t="s">
        <v>18</v>
      </c>
      <c r="C17" s="2" t="s">
        <v>87</v>
      </c>
      <c r="D17" s="2" t="s">
        <v>88</v>
      </c>
      <c r="E17" s="2" t="n">
        <v>2024</v>
      </c>
      <c r="F17" s="2" t="s">
        <v>89</v>
      </c>
      <c r="G17" s="2" t="s">
        <v>22</v>
      </c>
      <c r="H17" s="2" t="s">
        <v>90</v>
      </c>
      <c r="I17" s="2" t="s">
        <v>24</v>
      </c>
      <c r="J17" s="2"/>
      <c r="K17" s="2" t="s">
        <v>24</v>
      </c>
      <c r="L17" s="2"/>
      <c r="M17" s="2" t="s">
        <v>24</v>
      </c>
      <c r="N17" s="2" t="s">
        <v>35</v>
      </c>
      <c r="O17" s="2" t="s">
        <v>36</v>
      </c>
      <c r="P17" s="2"/>
      <c r="Q17" s="3"/>
      <c r="R17" s="3"/>
    </row>
    <row r="18" customFormat="false" ht="46.25" hidden="false" customHeight="false" outlineLevel="0" collapsed="false">
      <c r="A18" s="2" t="n">
        <v>17</v>
      </c>
      <c r="B18" s="2" t="s">
        <v>18</v>
      </c>
      <c r="C18" s="2" t="s">
        <v>91</v>
      </c>
      <c r="D18" s="2" t="s">
        <v>92</v>
      </c>
      <c r="E18" s="2" t="n">
        <v>2026</v>
      </c>
      <c r="F18" s="2" t="s">
        <v>93</v>
      </c>
      <c r="G18" s="2" t="s">
        <v>22</v>
      </c>
      <c r="H18" s="2" t="s">
        <v>94</v>
      </c>
      <c r="I18" s="2" t="s">
        <v>24</v>
      </c>
      <c r="J18" s="2"/>
      <c r="K18" s="2" t="s">
        <v>24</v>
      </c>
      <c r="L18" s="2"/>
      <c r="M18" s="2" t="s">
        <v>24</v>
      </c>
      <c r="N18" s="2" t="s">
        <v>35</v>
      </c>
      <c r="O18" s="2" t="s">
        <v>36</v>
      </c>
      <c r="P18" s="2"/>
      <c r="Q18" s="3"/>
      <c r="R18" s="3"/>
    </row>
    <row r="19" customFormat="false" ht="46.25" hidden="false" customHeight="false" outlineLevel="0" collapsed="false">
      <c r="A19" s="2" t="n">
        <v>18</v>
      </c>
      <c r="B19" s="2" t="s">
        <v>18</v>
      </c>
      <c r="C19" s="2" t="s">
        <v>95</v>
      </c>
      <c r="D19" s="2" t="s">
        <v>96</v>
      </c>
      <c r="E19" s="2" t="n">
        <v>2023</v>
      </c>
      <c r="F19" s="2" t="s">
        <v>97</v>
      </c>
      <c r="G19" s="2" t="s">
        <v>22</v>
      </c>
      <c r="H19" s="2" t="s">
        <v>98</v>
      </c>
      <c r="I19" s="2" t="s">
        <v>24</v>
      </c>
      <c r="J19" s="2"/>
      <c r="K19" s="2" t="s">
        <v>24</v>
      </c>
      <c r="L19" s="2"/>
      <c r="M19" s="2" t="s">
        <v>24</v>
      </c>
      <c r="N19" s="2" t="s">
        <v>35</v>
      </c>
      <c r="O19" s="2" t="s">
        <v>36</v>
      </c>
      <c r="P19" s="2"/>
      <c r="Q19" s="3"/>
      <c r="R19" s="3"/>
    </row>
    <row r="20" customFormat="false" ht="46.25" hidden="false" customHeight="false" outlineLevel="0" collapsed="false">
      <c r="A20" s="2" t="n">
        <v>19</v>
      </c>
      <c r="B20" s="2" t="s">
        <v>18</v>
      </c>
      <c r="C20" s="2" t="s">
        <v>99</v>
      </c>
      <c r="D20" s="2" t="s">
        <v>100</v>
      </c>
      <c r="E20" s="2" t="n">
        <v>2025</v>
      </c>
      <c r="F20" s="2" t="s">
        <v>101</v>
      </c>
      <c r="G20" s="2" t="s">
        <v>22</v>
      </c>
      <c r="H20" s="2" t="s">
        <v>102</v>
      </c>
      <c r="I20" s="2" t="s">
        <v>24</v>
      </c>
      <c r="J20" s="2"/>
      <c r="K20" s="2" t="s">
        <v>24</v>
      </c>
      <c r="L20" s="2"/>
      <c r="M20" s="2" t="s">
        <v>24</v>
      </c>
      <c r="N20" s="2" t="s">
        <v>35</v>
      </c>
      <c r="O20" s="2" t="s">
        <v>36</v>
      </c>
      <c r="P20" s="2"/>
      <c r="Q20" s="3"/>
      <c r="R20" s="3"/>
    </row>
    <row r="21" customFormat="false" ht="23.85" hidden="false" customHeight="false" outlineLevel="0" collapsed="false">
      <c r="A21" s="4" t="n">
        <v>20</v>
      </c>
      <c r="B21" s="4" t="s">
        <v>18</v>
      </c>
      <c r="C21" s="4" t="s">
        <v>103</v>
      </c>
      <c r="D21" s="4" t="s">
        <v>104</v>
      </c>
      <c r="E21" s="4" t="n">
        <v>2026</v>
      </c>
      <c r="F21" s="4" t="s">
        <v>105</v>
      </c>
      <c r="G21" s="4" t="s">
        <v>48</v>
      </c>
      <c r="H21" s="4" t="s">
        <v>106</v>
      </c>
      <c r="I21" s="4" t="s">
        <v>24</v>
      </c>
      <c r="J21" s="4" t="s">
        <v>24</v>
      </c>
      <c r="K21" s="4" t="s">
        <v>24</v>
      </c>
      <c r="L21" s="4"/>
      <c r="M21" s="4"/>
      <c r="N21" s="4" t="s">
        <v>35</v>
      </c>
      <c r="O21" s="4" t="s">
        <v>36</v>
      </c>
      <c r="P21" s="4" t="s">
        <v>107</v>
      </c>
      <c r="Q21" s="5"/>
      <c r="R21" s="5"/>
    </row>
    <row r="22" customFormat="false" ht="35.05" hidden="false" customHeight="false" outlineLevel="0" collapsed="false">
      <c r="A22" s="2" t="n">
        <v>21</v>
      </c>
      <c r="B22" s="2" t="s">
        <v>18</v>
      </c>
      <c r="C22" s="2" t="s">
        <v>108</v>
      </c>
      <c r="D22" s="2" t="s">
        <v>109</v>
      </c>
      <c r="E22" s="2" t="n">
        <v>2026</v>
      </c>
      <c r="F22" s="2" t="s">
        <v>110</v>
      </c>
      <c r="G22" s="2" t="s">
        <v>48</v>
      </c>
      <c r="H22" s="2" t="s">
        <v>111</v>
      </c>
      <c r="I22" s="2"/>
      <c r="J22" s="2" t="s">
        <v>24</v>
      </c>
      <c r="K22" s="2" t="s">
        <v>24</v>
      </c>
      <c r="L22" s="2"/>
      <c r="M22" s="2" t="s">
        <v>24</v>
      </c>
      <c r="N22" s="2" t="s">
        <v>35</v>
      </c>
      <c r="O22" s="2" t="s">
        <v>36</v>
      </c>
      <c r="P22" s="2"/>
      <c r="Q22" s="3"/>
      <c r="R22" s="3"/>
    </row>
    <row r="23" customFormat="false" ht="23.85" hidden="false" customHeight="false" outlineLevel="0" collapsed="false">
      <c r="A23" s="2" t="n">
        <v>22</v>
      </c>
      <c r="B23" s="2" t="s">
        <v>18</v>
      </c>
      <c r="C23" s="2" t="s">
        <v>112</v>
      </c>
      <c r="D23" s="2" t="s">
        <v>113</v>
      </c>
      <c r="E23" s="2" t="n">
        <v>2025</v>
      </c>
      <c r="F23" s="2" t="s">
        <v>114</v>
      </c>
      <c r="G23" s="2" t="s">
        <v>22</v>
      </c>
      <c r="H23" s="2"/>
      <c r="I23" s="2" t="s">
        <v>24</v>
      </c>
      <c r="J23" s="2"/>
      <c r="K23" s="2" t="s">
        <v>24</v>
      </c>
      <c r="L23" s="2"/>
      <c r="M23" s="2"/>
      <c r="N23" s="2" t="s">
        <v>25</v>
      </c>
      <c r="O23" s="2" t="s">
        <v>26</v>
      </c>
      <c r="P23" s="2"/>
      <c r="Q23" s="3"/>
      <c r="R23" s="3"/>
    </row>
    <row r="24" customFormat="false" ht="23.85" hidden="false" customHeight="false" outlineLevel="0" collapsed="false">
      <c r="A24" s="2" t="n">
        <v>23</v>
      </c>
      <c r="B24" s="2" t="s">
        <v>18</v>
      </c>
      <c r="C24" s="2" t="s">
        <v>115</v>
      </c>
      <c r="D24" s="2" t="s">
        <v>116</v>
      </c>
      <c r="E24" s="2" t="n">
        <v>2023</v>
      </c>
      <c r="F24" s="2" t="s">
        <v>117</v>
      </c>
      <c r="G24" s="2" t="s">
        <v>22</v>
      </c>
      <c r="H24" s="2" t="s">
        <v>118</v>
      </c>
      <c r="I24" s="2" t="s">
        <v>24</v>
      </c>
      <c r="J24" s="2"/>
      <c r="K24" s="2" t="s">
        <v>24</v>
      </c>
      <c r="L24" s="2"/>
      <c r="M24" s="2" t="s">
        <v>24</v>
      </c>
      <c r="N24" s="2" t="s">
        <v>35</v>
      </c>
      <c r="O24" s="2" t="s">
        <v>36</v>
      </c>
      <c r="P24" s="2"/>
      <c r="Q24" s="3"/>
      <c r="R24" s="3"/>
    </row>
    <row r="25" customFormat="false" ht="23.85" hidden="false" customHeight="false" outlineLevel="0" collapsed="false">
      <c r="A25" s="2" t="n">
        <v>24</v>
      </c>
      <c r="B25" s="2" t="s">
        <v>18</v>
      </c>
      <c r="C25" s="2" t="s">
        <v>119</v>
      </c>
      <c r="D25" s="2" t="s">
        <v>120</v>
      </c>
      <c r="E25" s="2" t="n">
        <v>2026</v>
      </c>
      <c r="F25" s="2" t="s">
        <v>47</v>
      </c>
      <c r="G25" s="2" t="s">
        <v>48</v>
      </c>
      <c r="H25" s="2" t="s">
        <v>121</v>
      </c>
      <c r="I25" s="2" t="s">
        <v>24</v>
      </c>
      <c r="J25" s="2" t="s">
        <v>24</v>
      </c>
      <c r="K25" s="2" t="s">
        <v>24</v>
      </c>
      <c r="L25" s="2"/>
      <c r="M25" s="2" t="s">
        <v>24</v>
      </c>
      <c r="N25" s="2" t="s">
        <v>122</v>
      </c>
      <c r="O25" s="2" t="s">
        <v>123</v>
      </c>
      <c r="P25" s="2"/>
      <c r="Q25" s="3"/>
      <c r="R25" s="3"/>
    </row>
    <row r="26" customFormat="false" ht="23.85" hidden="false" customHeight="false" outlineLevel="0" collapsed="false">
      <c r="A26" s="2" t="n">
        <v>25</v>
      </c>
      <c r="B26" s="2" t="s">
        <v>18</v>
      </c>
      <c r="C26" s="2" t="s">
        <v>124</v>
      </c>
      <c r="D26" s="2" t="s">
        <v>125</v>
      </c>
      <c r="E26" s="2" t="n">
        <v>2025</v>
      </c>
      <c r="F26" s="2" t="s">
        <v>126</v>
      </c>
      <c r="G26" s="2" t="s">
        <v>48</v>
      </c>
      <c r="H26" s="2" t="s">
        <v>127</v>
      </c>
      <c r="I26" s="2"/>
      <c r="J26" s="2"/>
      <c r="K26" s="2" t="s">
        <v>24</v>
      </c>
      <c r="L26" s="2"/>
      <c r="M26" s="2" t="s">
        <v>24</v>
      </c>
      <c r="N26" s="2" t="s">
        <v>128</v>
      </c>
      <c r="O26" s="2" t="s">
        <v>129</v>
      </c>
      <c r="P26" s="2"/>
      <c r="Q26" s="3"/>
      <c r="R26" s="3"/>
    </row>
    <row r="27" customFormat="false" ht="46.25" hidden="false" customHeight="false" outlineLevel="0" collapsed="false">
      <c r="A27" s="2" t="n">
        <v>26</v>
      </c>
      <c r="B27" s="2" t="s">
        <v>18</v>
      </c>
      <c r="C27" s="2" t="s">
        <v>130</v>
      </c>
      <c r="D27" s="2" t="s">
        <v>131</v>
      </c>
      <c r="E27" s="2" t="n">
        <v>2026</v>
      </c>
      <c r="F27" s="2" t="s">
        <v>132</v>
      </c>
      <c r="G27" s="2" t="s">
        <v>22</v>
      </c>
      <c r="H27" s="2" t="s">
        <v>133</v>
      </c>
      <c r="I27" s="2" t="s">
        <v>24</v>
      </c>
      <c r="J27" s="2"/>
      <c r="K27" s="2" t="s">
        <v>24</v>
      </c>
      <c r="L27" s="2"/>
      <c r="M27" s="2" t="s">
        <v>24</v>
      </c>
      <c r="N27" s="2" t="s">
        <v>35</v>
      </c>
      <c r="O27" s="2" t="s">
        <v>36</v>
      </c>
      <c r="P27" s="2"/>
      <c r="Q27" s="3"/>
      <c r="R27" s="3"/>
    </row>
    <row r="28" customFormat="false" ht="46.25" hidden="false" customHeight="false" outlineLevel="0" collapsed="false">
      <c r="A28" s="2" t="n">
        <v>27</v>
      </c>
      <c r="B28" s="2" t="s">
        <v>18</v>
      </c>
      <c r="C28" s="2" t="s">
        <v>134</v>
      </c>
      <c r="D28" s="2" t="s">
        <v>135</v>
      </c>
      <c r="E28" s="2" t="n">
        <v>2025</v>
      </c>
      <c r="F28" s="2" t="s">
        <v>136</v>
      </c>
      <c r="G28" s="2" t="s">
        <v>22</v>
      </c>
      <c r="H28" s="2" t="s">
        <v>137</v>
      </c>
      <c r="I28" s="2" t="s">
        <v>24</v>
      </c>
      <c r="J28" s="2"/>
      <c r="K28" s="2"/>
      <c r="L28" s="2" t="s">
        <v>24</v>
      </c>
      <c r="M28" s="2" t="s">
        <v>24</v>
      </c>
      <c r="N28" s="2" t="s">
        <v>35</v>
      </c>
      <c r="O28" s="2" t="s">
        <v>36</v>
      </c>
      <c r="P28" s="2"/>
      <c r="Q28" s="3"/>
      <c r="R28" s="3"/>
    </row>
    <row r="29" customFormat="false" ht="46.25" hidden="false" customHeight="false" outlineLevel="0" collapsed="false">
      <c r="A29" s="2" t="n">
        <v>28</v>
      </c>
      <c r="B29" s="2" t="s">
        <v>18</v>
      </c>
      <c r="C29" s="2" t="s">
        <v>138</v>
      </c>
      <c r="D29" s="2" t="s">
        <v>139</v>
      </c>
      <c r="E29" s="2" t="n">
        <v>2024</v>
      </c>
      <c r="F29" s="2" t="s">
        <v>140</v>
      </c>
      <c r="G29" s="2" t="s">
        <v>22</v>
      </c>
      <c r="H29" s="2" t="s">
        <v>141</v>
      </c>
      <c r="I29" s="2" t="s">
        <v>24</v>
      </c>
      <c r="J29" s="2"/>
      <c r="K29" s="2" t="s">
        <v>24</v>
      </c>
      <c r="L29" s="2"/>
      <c r="M29" s="2" t="s">
        <v>24</v>
      </c>
      <c r="N29" s="2" t="s">
        <v>35</v>
      </c>
      <c r="O29" s="2" t="s">
        <v>36</v>
      </c>
      <c r="P29" s="2"/>
      <c r="Q29" s="3"/>
      <c r="R29" s="3"/>
    </row>
    <row r="30" customFormat="false" ht="23.85" hidden="false" customHeight="false" outlineLevel="0" collapsed="false">
      <c r="A30" s="2" t="n">
        <v>29</v>
      </c>
      <c r="B30" s="2" t="s">
        <v>18</v>
      </c>
      <c r="C30" s="2" t="s">
        <v>142</v>
      </c>
      <c r="D30" s="2" t="s">
        <v>143</v>
      </c>
      <c r="E30" s="2" t="n">
        <v>2024</v>
      </c>
      <c r="F30" s="2" t="s">
        <v>144</v>
      </c>
      <c r="G30" s="2" t="s">
        <v>48</v>
      </c>
      <c r="H30" s="2" t="s">
        <v>145</v>
      </c>
      <c r="I30" s="2" t="s">
        <v>24</v>
      </c>
      <c r="J30" s="2"/>
      <c r="K30" s="2" t="s">
        <v>24</v>
      </c>
      <c r="L30" s="2"/>
      <c r="M30" s="2" t="s">
        <v>24</v>
      </c>
      <c r="N30" s="2" t="s">
        <v>35</v>
      </c>
      <c r="O30" s="2" t="s">
        <v>36</v>
      </c>
      <c r="P30" s="2"/>
      <c r="Q30" s="3"/>
      <c r="R30" s="3"/>
    </row>
    <row r="31" customFormat="false" ht="41" hidden="false" customHeight="false" outlineLevel="0" collapsed="false">
      <c r="A31" s="2" t="n">
        <v>30</v>
      </c>
      <c r="B31" s="2" t="s">
        <v>18</v>
      </c>
      <c r="C31" s="2" t="s">
        <v>146</v>
      </c>
      <c r="D31" s="2" t="s">
        <v>147</v>
      </c>
      <c r="E31" s="2" t="n">
        <v>2025</v>
      </c>
      <c r="F31" s="2" t="s">
        <v>148</v>
      </c>
      <c r="G31" s="2" t="s">
        <v>48</v>
      </c>
      <c r="H31" s="2" t="s">
        <v>149</v>
      </c>
      <c r="I31" s="2" t="s">
        <v>24</v>
      </c>
      <c r="J31" s="2"/>
      <c r="K31" s="2" t="s">
        <v>24</v>
      </c>
      <c r="L31" s="2"/>
      <c r="M31" s="2"/>
      <c r="N31" s="2" t="s">
        <v>35</v>
      </c>
      <c r="O31" s="2" t="s">
        <v>36</v>
      </c>
      <c r="P31" s="2"/>
      <c r="Q31" s="3"/>
      <c r="R31" s="3"/>
    </row>
    <row r="32" customFormat="false" ht="35.05" hidden="false" customHeight="false" outlineLevel="0" collapsed="false">
      <c r="A32" s="2" t="n">
        <v>31</v>
      </c>
      <c r="B32" s="2" t="s">
        <v>18</v>
      </c>
      <c r="C32" s="2" t="s">
        <v>150</v>
      </c>
      <c r="D32" s="2" t="s">
        <v>151</v>
      </c>
      <c r="E32" s="2" t="n">
        <v>2025</v>
      </c>
      <c r="F32" s="2" t="s">
        <v>152</v>
      </c>
      <c r="G32" s="2" t="s">
        <v>48</v>
      </c>
      <c r="H32" s="2" t="s">
        <v>153</v>
      </c>
      <c r="I32" s="2" t="s">
        <v>24</v>
      </c>
      <c r="J32" s="2"/>
      <c r="K32" s="2" t="s">
        <v>24</v>
      </c>
      <c r="L32" s="2"/>
      <c r="M32" s="2"/>
      <c r="N32" s="2" t="s">
        <v>35</v>
      </c>
      <c r="O32" s="2" t="s">
        <v>36</v>
      </c>
      <c r="P32" s="2"/>
      <c r="Q32" s="3"/>
      <c r="R32" s="3"/>
    </row>
    <row r="33" customFormat="false" ht="57.45" hidden="false" customHeight="false" outlineLevel="0" collapsed="false">
      <c r="A33" s="2" t="n">
        <v>32</v>
      </c>
      <c r="B33" s="2" t="s">
        <v>18</v>
      </c>
      <c r="C33" s="2" t="s">
        <v>154</v>
      </c>
      <c r="D33" s="2" t="s">
        <v>155</v>
      </c>
      <c r="E33" s="2" t="n">
        <v>2025</v>
      </c>
      <c r="F33" s="2" t="s">
        <v>156</v>
      </c>
      <c r="G33" s="2" t="s">
        <v>22</v>
      </c>
      <c r="H33" s="2" t="s">
        <v>157</v>
      </c>
      <c r="I33" s="2" t="s">
        <v>24</v>
      </c>
      <c r="J33" s="2"/>
      <c r="K33" s="2" t="s">
        <v>24</v>
      </c>
      <c r="L33" s="2"/>
      <c r="M33" s="2" t="s">
        <v>24</v>
      </c>
      <c r="N33" s="2" t="s">
        <v>158</v>
      </c>
      <c r="O33" s="2" t="s">
        <v>159</v>
      </c>
      <c r="P33" s="2"/>
      <c r="Q33" s="3"/>
      <c r="R33" s="3"/>
    </row>
    <row r="34" customFormat="false" ht="46.25" hidden="false" customHeight="false" outlineLevel="0" collapsed="false">
      <c r="A34" s="2" t="n">
        <v>33</v>
      </c>
      <c r="B34" s="2" t="s">
        <v>18</v>
      </c>
      <c r="C34" s="2" t="s">
        <v>160</v>
      </c>
      <c r="D34" s="2" t="s">
        <v>161</v>
      </c>
      <c r="E34" s="2" t="n">
        <v>2024</v>
      </c>
      <c r="F34" s="2" t="s">
        <v>162</v>
      </c>
      <c r="G34" s="2" t="s">
        <v>22</v>
      </c>
      <c r="H34" s="2" t="s">
        <v>163</v>
      </c>
      <c r="I34" s="2"/>
      <c r="J34" s="2"/>
      <c r="K34" s="2" t="s">
        <v>24</v>
      </c>
      <c r="L34" s="2"/>
      <c r="M34" s="2"/>
      <c r="N34" s="2" t="s">
        <v>128</v>
      </c>
      <c r="O34" s="2" t="s">
        <v>129</v>
      </c>
      <c r="P34" s="2"/>
      <c r="Q34" s="3"/>
      <c r="R34" s="3"/>
    </row>
    <row r="35" customFormat="false" ht="23.85" hidden="false" customHeight="false" outlineLevel="0" collapsed="false">
      <c r="A35" s="2" t="n">
        <v>34</v>
      </c>
      <c r="B35" s="2" t="s">
        <v>18</v>
      </c>
      <c r="C35" s="2" t="s">
        <v>164</v>
      </c>
      <c r="D35" s="2" t="s">
        <v>165</v>
      </c>
      <c r="E35" s="2" t="n">
        <v>2026</v>
      </c>
      <c r="F35" s="2" t="s">
        <v>166</v>
      </c>
      <c r="G35" s="2" t="s">
        <v>48</v>
      </c>
      <c r="H35" s="2" t="s">
        <v>167</v>
      </c>
      <c r="I35" s="2" t="s">
        <v>24</v>
      </c>
      <c r="J35" s="2"/>
      <c r="K35" s="2" t="s">
        <v>24</v>
      </c>
      <c r="L35" s="2"/>
      <c r="M35" s="2"/>
      <c r="N35" s="2" t="s">
        <v>158</v>
      </c>
      <c r="O35" s="2" t="s">
        <v>159</v>
      </c>
      <c r="P35" s="2"/>
      <c r="Q35" s="3"/>
      <c r="R35" s="3"/>
    </row>
    <row r="36" customFormat="false" ht="46.25" hidden="false" customHeight="false" outlineLevel="0" collapsed="false">
      <c r="A36" s="2" t="n">
        <v>35</v>
      </c>
      <c r="B36" s="2" t="s">
        <v>18</v>
      </c>
      <c r="C36" s="2" t="s">
        <v>168</v>
      </c>
      <c r="D36" s="2" t="s">
        <v>169</v>
      </c>
      <c r="E36" s="2" t="n">
        <v>2025</v>
      </c>
      <c r="F36" s="2" t="s">
        <v>170</v>
      </c>
      <c r="G36" s="2" t="s">
        <v>22</v>
      </c>
      <c r="H36" s="2" t="s">
        <v>171</v>
      </c>
      <c r="I36" s="2" t="s">
        <v>24</v>
      </c>
      <c r="J36" s="2"/>
      <c r="K36" s="2" t="s">
        <v>24</v>
      </c>
      <c r="L36" s="2"/>
      <c r="M36" s="2"/>
      <c r="N36" s="2" t="s">
        <v>35</v>
      </c>
      <c r="O36" s="2" t="s">
        <v>36</v>
      </c>
      <c r="P36" s="2"/>
      <c r="Q36" s="3"/>
      <c r="R36" s="3"/>
    </row>
    <row r="37" customFormat="false" ht="57.45" hidden="false" customHeight="false" outlineLevel="0" collapsed="false">
      <c r="A37" s="2" t="n">
        <v>36</v>
      </c>
      <c r="B37" s="2" t="s">
        <v>18</v>
      </c>
      <c r="C37" s="2" t="s">
        <v>172</v>
      </c>
      <c r="D37" s="2" t="s">
        <v>173</v>
      </c>
      <c r="E37" s="2" t="n">
        <v>2025</v>
      </c>
      <c r="F37" s="2" t="s">
        <v>174</v>
      </c>
      <c r="G37" s="2" t="s">
        <v>22</v>
      </c>
      <c r="H37" s="2" t="s">
        <v>175</v>
      </c>
      <c r="I37" s="2" t="s">
        <v>24</v>
      </c>
      <c r="J37" s="2"/>
      <c r="K37" s="2" t="s">
        <v>24</v>
      </c>
      <c r="L37" s="2"/>
      <c r="M37" s="2" t="s">
        <v>24</v>
      </c>
      <c r="N37" s="2" t="s">
        <v>35</v>
      </c>
      <c r="O37" s="2" t="s">
        <v>36</v>
      </c>
      <c r="P37" s="2"/>
      <c r="Q37" s="3"/>
      <c r="R37" s="3"/>
    </row>
    <row r="38" customFormat="false" ht="57.45" hidden="false" customHeight="false" outlineLevel="0" collapsed="false">
      <c r="A38" s="2" t="n">
        <v>37</v>
      </c>
      <c r="B38" s="2" t="s">
        <v>18</v>
      </c>
      <c r="C38" s="2" t="s">
        <v>176</v>
      </c>
      <c r="D38" s="2" t="s">
        <v>177</v>
      </c>
      <c r="E38" s="2" t="n">
        <v>2025</v>
      </c>
      <c r="F38" s="2" t="s">
        <v>178</v>
      </c>
      <c r="G38" s="2" t="s">
        <v>22</v>
      </c>
      <c r="H38" s="2" t="s">
        <v>179</v>
      </c>
      <c r="I38" s="2" t="s">
        <v>24</v>
      </c>
      <c r="J38" s="2"/>
      <c r="K38" s="2" t="s">
        <v>24</v>
      </c>
      <c r="L38" s="2"/>
      <c r="M38" s="2" t="s">
        <v>24</v>
      </c>
      <c r="N38" s="2" t="s">
        <v>35</v>
      </c>
      <c r="O38" s="2" t="s">
        <v>36</v>
      </c>
      <c r="P38" s="2"/>
      <c r="Q38" s="3"/>
      <c r="R38" s="3"/>
    </row>
    <row r="39" customFormat="false" ht="46.25" hidden="false" customHeight="false" outlineLevel="0" collapsed="false">
      <c r="A39" s="2" t="n">
        <v>38</v>
      </c>
      <c r="B39" s="2" t="s">
        <v>18</v>
      </c>
      <c r="C39" s="2" t="s">
        <v>180</v>
      </c>
      <c r="D39" s="2" t="s">
        <v>181</v>
      </c>
      <c r="E39" s="2" t="n">
        <v>2026</v>
      </c>
      <c r="F39" s="2" t="s">
        <v>182</v>
      </c>
      <c r="G39" s="2" t="s">
        <v>22</v>
      </c>
      <c r="H39" s="2" t="s">
        <v>183</v>
      </c>
      <c r="I39" s="2" t="s">
        <v>24</v>
      </c>
      <c r="J39" s="2"/>
      <c r="K39" s="2" t="s">
        <v>24</v>
      </c>
      <c r="L39" s="2"/>
      <c r="M39" s="2"/>
      <c r="N39" s="2" t="s">
        <v>25</v>
      </c>
      <c r="O39" s="2" t="s">
        <v>26</v>
      </c>
      <c r="P39" s="2"/>
      <c r="Q39" s="3"/>
      <c r="R39" s="3"/>
    </row>
    <row r="40" customFormat="false" ht="35.05" hidden="false" customHeight="false" outlineLevel="0" collapsed="false">
      <c r="A40" s="2" t="n">
        <v>39</v>
      </c>
      <c r="B40" s="2" t="s">
        <v>18</v>
      </c>
      <c r="C40" s="2" t="s">
        <v>184</v>
      </c>
      <c r="D40" s="2" t="s">
        <v>185</v>
      </c>
      <c r="E40" s="2" t="n">
        <v>2026</v>
      </c>
      <c r="F40" s="2" t="s">
        <v>186</v>
      </c>
      <c r="G40" s="2" t="s">
        <v>22</v>
      </c>
      <c r="H40" s="2" t="s">
        <v>187</v>
      </c>
      <c r="I40" s="2" t="s">
        <v>24</v>
      </c>
      <c r="J40" s="2" t="s">
        <v>24</v>
      </c>
      <c r="K40" s="2" t="s">
        <v>24</v>
      </c>
      <c r="L40" s="2"/>
      <c r="M40" s="2" t="s">
        <v>24</v>
      </c>
      <c r="N40" s="2" t="s">
        <v>35</v>
      </c>
      <c r="O40" s="2" t="s">
        <v>36</v>
      </c>
      <c r="P40" s="2"/>
      <c r="Q40" s="3"/>
      <c r="R40" s="3"/>
    </row>
    <row r="41" customFormat="false" ht="23.85" hidden="false" customHeight="false" outlineLevel="0" collapsed="false">
      <c r="A41" s="2" t="n">
        <v>40</v>
      </c>
      <c r="B41" s="2" t="s">
        <v>18</v>
      </c>
      <c r="C41" s="2" t="s">
        <v>188</v>
      </c>
      <c r="D41" s="2" t="s">
        <v>189</v>
      </c>
      <c r="E41" s="2" t="n">
        <v>2025</v>
      </c>
      <c r="F41" s="2" t="s">
        <v>190</v>
      </c>
      <c r="G41" s="2" t="s">
        <v>48</v>
      </c>
      <c r="H41" s="2"/>
      <c r="I41" s="2" t="s">
        <v>24</v>
      </c>
      <c r="J41" s="2" t="s">
        <v>24</v>
      </c>
      <c r="K41" s="2" t="s">
        <v>24</v>
      </c>
      <c r="L41" s="2"/>
      <c r="M41" s="2" t="s">
        <v>24</v>
      </c>
      <c r="N41" s="2" t="s">
        <v>35</v>
      </c>
      <c r="O41" s="2" t="s">
        <v>36</v>
      </c>
      <c r="P41" s="2"/>
      <c r="Q41" s="3"/>
      <c r="R41" s="3"/>
    </row>
    <row r="42" customFormat="false" ht="35.05" hidden="false" customHeight="false" outlineLevel="0" collapsed="false">
      <c r="A42" s="2" t="n">
        <v>41</v>
      </c>
      <c r="B42" s="2" t="s">
        <v>18</v>
      </c>
      <c r="C42" s="2" t="s">
        <v>191</v>
      </c>
      <c r="D42" s="2" t="s">
        <v>192</v>
      </c>
      <c r="E42" s="2" t="n">
        <v>2025</v>
      </c>
      <c r="F42" s="2" t="s">
        <v>193</v>
      </c>
      <c r="G42" s="2" t="s">
        <v>48</v>
      </c>
      <c r="H42" s="2" t="s">
        <v>194</v>
      </c>
      <c r="I42" s="2" t="s">
        <v>24</v>
      </c>
      <c r="J42" s="2"/>
      <c r="K42" s="2" t="s">
        <v>24</v>
      </c>
      <c r="L42" s="2"/>
      <c r="M42" s="2"/>
      <c r="N42" s="2" t="s">
        <v>25</v>
      </c>
      <c r="O42" s="2" t="s">
        <v>26</v>
      </c>
      <c r="P42" s="2"/>
      <c r="Q42" s="3"/>
      <c r="R42" s="3"/>
    </row>
    <row r="43" customFormat="false" ht="35.05" hidden="false" customHeight="false" outlineLevel="0" collapsed="false">
      <c r="A43" s="2" t="n">
        <v>42</v>
      </c>
      <c r="B43" s="2" t="s">
        <v>18</v>
      </c>
      <c r="C43" s="2" t="s">
        <v>195</v>
      </c>
      <c r="D43" s="2" t="s">
        <v>196</v>
      </c>
      <c r="E43" s="2" t="n">
        <v>2025</v>
      </c>
      <c r="F43" s="2" t="s">
        <v>197</v>
      </c>
      <c r="G43" s="2" t="s">
        <v>22</v>
      </c>
      <c r="H43" s="2" t="s">
        <v>198</v>
      </c>
      <c r="I43" s="2" t="s">
        <v>24</v>
      </c>
      <c r="J43" s="2"/>
      <c r="K43" s="2" t="s">
        <v>24</v>
      </c>
      <c r="L43" s="2"/>
      <c r="M43" s="2" t="s">
        <v>24</v>
      </c>
      <c r="N43" s="2" t="s">
        <v>35</v>
      </c>
      <c r="O43" s="2" t="s">
        <v>36</v>
      </c>
      <c r="P43" s="2"/>
      <c r="Q43" s="3"/>
      <c r="R43" s="3"/>
    </row>
    <row r="44" customFormat="false" ht="23.85" hidden="false" customHeight="false" outlineLevel="0" collapsed="false">
      <c r="A44" s="2" t="n">
        <v>43</v>
      </c>
      <c r="B44" s="2" t="s">
        <v>18</v>
      </c>
      <c r="C44" s="2" t="s">
        <v>199</v>
      </c>
      <c r="D44" s="2" t="s">
        <v>200</v>
      </c>
      <c r="E44" s="2" t="n">
        <v>2023</v>
      </c>
      <c r="F44" s="2" t="s">
        <v>201</v>
      </c>
      <c r="G44" s="2" t="s">
        <v>48</v>
      </c>
      <c r="H44" s="2" t="s">
        <v>202</v>
      </c>
      <c r="I44" s="2" t="s">
        <v>24</v>
      </c>
      <c r="J44" s="2"/>
      <c r="K44" s="2" t="s">
        <v>24</v>
      </c>
      <c r="L44" s="2"/>
      <c r="M44" s="2"/>
      <c r="N44" s="2" t="s">
        <v>25</v>
      </c>
      <c r="O44" s="2" t="s">
        <v>26</v>
      </c>
      <c r="P44" s="2"/>
      <c r="Q44" s="3"/>
      <c r="R44" s="3"/>
    </row>
    <row r="45" customFormat="false" ht="35.05" hidden="false" customHeight="false" outlineLevel="0" collapsed="false">
      <c r="A45" s="4" t="n">
        <v>44</v>
      </c>
      <c r="B45" s="4" t="s">
        <v>18</v>
      </c>
      <c r="C45" s="4" t="s">
        <v>203</v>
      </c>
      <c r="D45" s="4" t="s">
        <v>204</v>
      </c>
      <c r="E45" s="4" t="n">
        <v>2026</v>
      </c>
      <c r="F45" s="4" t="s">
        <v>205</v>
      </c>
      <c r="G45" s="4" t="s">
        <v>48</v>
      </c>
      <c r="H45" s="4" t="s">
        <v>206</v>
      </c>
      <c r="I45" s="4" t="s">
        <v>24</v>
      </c>
      <c r="J45" s="4" t="s">
        <v>24</v>
      </c>
      <c r="K45" s="4" t="s">
        <v>24</v>
      </c>
      <c r="L45" s="4"/>
      <c r="M45" s="4" t="s">
        <v>24</v>
      </c>
      <c r="N45" s="4" t="s">
        <v>35</v>
      </c>
      <c r="O45" s="4" t="s">
        <v>36</v>
      </c>
      <c r="P45" s="4" t="s">
        <v>107</v>
      </c>
      <c r="Q45" s="5"/>
      <c r="R45" s="5"/>
    </row>
    <row r="46" customFormat="false" ht="68.65" hidden="false" customHeight="false" outlineLevel="0" collapsed="false">
      <c r="A46" s="2" t="n">
        <v>45</v>
      </c>
      <c r="B46" s="2" t="s">
        <v>18</v>
      </c>
      <c r="C46" s="2" t="s">
        <v>207</v>
      </c>
      <c r="D46" s="2" t="s">
        <v>208</v>
      </c>
      <c r="E46" s="2" t="n">
        <v>2026</v>
      </c>
      <c r="F46" s="2" t="s">
        <v>209</v>
      </c>
      <c r="G46" s="2" t="s">
        <v>22</v>
      </c>
      <c r="H46" s="2" t="s">
        <v>210</v>
      </c>
      <c r="I46" s="2" t="s">
        <v>24</v>
      </c>
      <c r="J46" s="2"/>
      <c r="K46" s="2" t="s">
        <v>24</v>
      </c>
      <c r="L46" s="2"/>
      <c r="M46" s="2" t="s">
        <v>24</v>
      </c>
      <c r="N46" s="2" t="s">
        <v>35</v>
      </c>
      <c r="O46" s="2" t="s">
        <v>36</v>
      </c>
      <c r="P46" s="2"/>
      <c r="Q46" s="3"/>
      <c r="R46" s="3"/>
    </row>
    <row r="47" customFormat="false" ht="46.25" hidden="false" customHeight="false" outlineLevel="0" collapsed="false">
      <c r="A47" s="2" t="n">
        <v>46</v>
      </c>
      <c r="B47" s="2" t="s">
        <v>18</v>
      </c>
      <c r="C47" s="2" t="s">
        <v>211</v>
      </c>
      <c r="D47" s="2" t="s">
        <v>212</v>
      </c>
      <c r="E47" s="2" t="n">
        <v>2025</v>
      </c>
      <c r="F47" s="2" t="s">
        <v>101</v>
      </c>
      <c r="G47" s="2" t="s">
        <v>22</v>
      </c>
      <c r="H47" s="2" t="s">
        <v>213</v>
      </c>
      <c r="I47" s="2" t="s">
        <v>24</v>
      </c>
      <c r="J47" s="2"/>
      <c r="K47" s="2" t="s">
        <v>24</v>
      </c>
      <c r="L47" s="2"/>
      <c r="M47" s="2" t="s">
        <v>24</v>
      </c>
      <c r="N47" s="2" t="s">
        <v>35</v>
      </c>
      <c r="O47" s="2" t="s">
        <v>36</v>
      </c>
      <c r="P47" s="2"/>
      <c r="Q47" s="3"/>
      <c r="R47" s="3"/>
    </row>
    <row r="48" customFormat="false" ht="23.85" hidden="false" customHeight="false" outlineLevel="0" collapsed="false">
      <c r="A48" s="2" t="n">
        <v>47</v>
      </c>
      <c r="B48" s="2" t="s">
        <v>18</v>
      </c>
      <c r="C48" s="2" t="s">
        <v>214</v>
      </c>
      <c r="D48" s="2" t="s">
        <v>215</v>
      </c>
      <c r="E48" s="2" t="n">
        <v>2026</v>
      </c>
      <c r="F48" s="2" t="s">
        <v>85</v>
      </c>
      <c r="G48" s="2" t="s">
        <v>48</v>
      </c>
      <c r="H48" s="2" t="s">
        <v>216</v>
      </c>
      <c r="I48" s="2" t="s">
        <v>24</v>
      </c>
      <c r="J48" s="2"/>
      <c r="K48" s="2" t="s">
        <v>24</v>
      </c>
      <c r="L48" s="2"/>
      <c r="M48" s="2" t="s">
        <v>24</v>
      </c>
      <c r="N48" s="2" t="s">
        <v>35</v>
      </c>
      <c r="O48" s="2" t="s">
        <v>36</v>
      </c>
      <c r="P48" s="2"/>
      <c r="Q48" s="3"/>
      <c r="R48" s="3"/>
    </row>
    <row r="49" customFormat="false" ht="35.05" hidden="false" customHeight="false" outlineLevel="0" collapsed="false">
      <c r="A49" s="2" t="n">
        <v>48</v>
      </c>
      <c r="B49" s="2" t="s">
        <v>18</v>
      </c>
      <c r="C49" s="2" t="s">
        <v>217</v>
      </c>
      <c r="D49" s="2" t="s">
        <v>218</v>
      </c>
      <c r="E49" s="2" t="n">
        <v>2026</v>
      </c>
      <c r="F49" s="2" t="s">
        <v>219</v>
      </c>
      <c r="G49" s="2" t="s">
        <v>22</v>
      </c>
      <c r="H49" s="2" t="s">
        <v>220</v>
      </c>
      <c r="I49" s="2" t="s">
        <v>24</v>
      </c>
      <c r="J49" s="2"/>
      <c r="K49" s="2" t="s">
        <v>24</v>
      </c>
      <c r="L49" s="2"/>
      <c r="M49" s="2"/>
      <c r="N49" s="2" t="s">
        <v>35</v>
      </c>
      <c r="O49" s="2" t="s">
        <v>36</v>
      </c>
      <c r="P49" s="2"/>
      <c r="Q49" s="3"/>
      <c r="R49" s="3"/>
    </row>
    <row r="50" customFormat="false" ht="35.05" hidden="false" customHeight="false" outlineLevel="0" collapsed="false">
      <c r="A50" s="2" t="n">
        <v>49</v>
      </c>
      <c r="B50" s="2" t="s">
        <v>18</v>
      </c>
      <c r="C50" s="2" t="s">
        <v>221</v>
      </c>
      <c r="D50" s="2" t="s">
        <v>222</v>
      </c>
      <c r="E50" s="2" t="n">
        <v>2025</v>
      </c>
      <c r="F50" s="2" t="s">
        <v>223</v>
      </c>
      <c r="G50" s="2" t="s">
        <v>48</v>
      </c>
      <c r="H50" s="2"/>
      <c r="I50" s="2" t="s">
        <v>24</v>
      </c>
      <c r="J50" s="2"/>
      <c r="K50" s="2" t="s">
        <v>24</v>
      </c>
      <c r="L50" s="2"/>
      <c r="M50" s="2"/>
      <c r="N50" s="2" t="s">
        <v>35</v>
      </c>
      <c r="O50" s="2" t="s">
        <v>36</v>
      </c>
      <c r="P50" s="2"/>
      <c r="Q50" s="3"/>
      <c r="R50" s="3"/>
    </row>
    <row r="51" customFormat="false" ht="23.85" hidden="false" customHeight="false" outlineLevel="0" collapsed="false">
      <c r="A51" s="2" t="n">
        <v>50</v>
      </c>
      <c r="B51" s="2" t="s">
        <v>18</v>
      </c>
      <c r="C51" s="2" t="s">
        <v>224</v>
      </c>
      <c r="D51" s="2" t="s">
        <v>225</v>
      </c>
      <c r="E51" s="2" t="n">
        <v>2026</v>
      </c>
      <c r="F51" s="2" t="s">
        <v>226</v>
      </c>
      <c r="G51" s="2" t="s">
        <v>48</v>
      </c>
      <c r="H51" s="2" t="s">
        <v>227</v>
      </c>
      <c r="I51" s="2" t="s">
        <v>24</v>
      </c>
      <c r="J51" s="2"/>
      <c r="K51" s="2" t="s">
        <v>24</v>
      </c>
      <c r="L51" s="2"/>
      <c r="M51" s="2" t="s">
        <v>24</v>
      </c>
      <c r="N51" s="2" t="s">
        <v>25</v>
      </c>
      <c r="O51" s="2" t="s">
        <v>26</v>
      </c>
      <c r="P51" s="2"/>
      <c r="Q51" s="3"/>
      <c r="R51" s="3"/>
    </row>
    <row r="52" customFormat="false" ht="35.05" hidden="false" customHeight="false" outlineLevel="0" collapsed="false">
      <c r="A52" s="2" t="n">
        <v>51</v>
      </c>
      <c r="B52" s="2" t="s">
        <v>18</v>
      </c>
      <c r="C52" s="2" t="s">
        <v>228</v>
      </c>
      <c r="D52" s="2" t="s">
        <v>229</v>
      </c>
      <c r="E52" s="2" t="n">
        <v>2026</v>
      </c>
      <c r="F52" s="2" t="s">
        <v>230</v>
      </c>
      <c r="G52" s="2" t="s">
        <v>48</v>
      </c>
      <c r="H52" s="2" t="s">
        <v>231</v>
      </c>
      <c r="I52" s="2" t="s">
        <v>24</v>
      </c>
      <c r="J52" s="2"/>
      <c r="K52" s="2" t="s">
        <v>24</v>
      </c>
      <c r="L52" s="2"/>
      <c r="M52" s="2" t="s">
        <v>24</v>
      </c>
      <c r="N52" s="2" t="s">
        <v>35</v>
      </c>
      <c r="O52" s="2" t="s">
        <v>36</v>
      </c>
      <c r="P52" s="2"/>
      <c r="Q52" s="3"/>
      <c r="R52" s="3"/>
    </row>
    <row r="53" customFormat="false" ht="35.05" hidden="false" customHeight="false" outlineLevel="0" collapsed="false">
      <c r="A53" s="2" t="n">
        <v>52</v>
      </c>
      <c r="B53" s="2" t="s">
        <v>18</v>
      </c>
      <c r="C53" s="2" t="s">
        <v>232</v>
      </c>
      <c r="D53" s="2" t="s">
        <v>233</v>
      </c>
      <c r="E53" s="2" t="n">
        <v>2026</v>
      </c>
      <c r="F53" s="2" t="s">
        <v>234</v>
      </c>
      <c r="G53" s="2" t="s">
        <v>22</v>
      </c>
      <c r="H53" s="2" t="s">
        <v>235</v>
      </c>
      <c r="I53" s="2" t="s">
        <v>24</v>
      </c>
      <c r="J53" s="2"/>
      <c r="K53" s="2" t="s">
        <v>24</v>
      </c>
      <c r="L53" s="2"/>
      <c r="M53" s="2"/>
      <c r="N53" s="2" t="s">
        <v>35</v>
      </c>
      <c r="O53" s="2" t="s">
        <v>36</v>
      </c>
      <c r="P53" s="2"/>
      <c r="Q53" s="3"/>
      <c r="R53" s="3"/>
    </row>
    <row r="54" customFormat="false" ht="23.85" hidden="false" customHeight="false" outlineLevel="0" collapsed="false">
      <c r="A54" s="2" t="n">
        <v>53</v>
      </c>
      <c r="B54" s="2" t="s">
        <v>18</v>
      </c>
      <c r="C54" s="2" t="s">
        <v>236</v>
      </c>
      <c r="D54" s="2" t="s">
        <v>237</v>
      </c>
      <c r="E54" s="2" t="n">
        <v>2026</v>
      </c>
      <c r="F54" s="2" t="s">
        <v>85</v>
      </c>
      <c r="G54" s="2" t="s">
        <v>48</v>
      </c>
      <c r="H54" s="2" t="s">
        <v>238</v>
      </c>
      <c r="I54" s="2" t="s">
        <v>24</v>
      </c>
      <c r="J54" s="2"/>
      <c r="K54" s="2" t="s">
        <v>24</v>
      </c>
      <c r="L54" s="2"/>
      <c r="M54" s="2" t="s">
        <v>24</v>
      </c>
      <c r="N54" s="2" t="s">
        <v>35</v>
      </c>
      <c r="O54" s="2" t="s">
        <v>36</v>
      </c>
      <c r="P54" s="2"/>
      <c r="Q54" s="3"/>
      <c r="R54" s="3"/>
    </row>
    <row r="55" customFormat="false" ht="23.85" hidden="false" customHeight="false" outlineLevel="0" collapsed="false">
      <c r="A55" s="4" t="n">
        <v>54</v>
      </c>
      <c r="B55" s="4" t="s">
        <v>18</v>
      </c>
      <c r="C55" s="4" t="s">
        <v>239</v>
      </c>
      <c r="D55" s="4" t="s">
        <v>240</v>
      </c>
      <c r="E55" s="4" t="n">
        <v>2026</v>
      </c>
      <c r="F55" s="4" t="s">
        <v>241</v>
      </c>
      <c r="G55" s="4" t="s">
        <v>48</v>
      </c>
      <c r="H55" s="4" t="s">
        <v>242</v>
      </c>
      <c r="I55" s="4" t="s">
        <v>24</v>
      </c>
      <c r="J55" s="4"/>
      <c r="K55" s="4" t="s">
        <v>24</v>
      </c>
      <c r="L55" s="4"/>
      <c r="M55" s="4" t="s">
        <v>24</v>
      </c>
      <c r="N55" s="4" t="s">
        <v>35</v>
      </c>
      <c r="O55" s="4" t="s">
        <v>36</v>
      </c>
      <c r="P55" s="4" t="s">
        <v>107</v>
      </c>
      <c r="Q55" s="5"/>
      <c r="R55" s="5"/>
    </row>
    <row r="56" customFormat="false" ht="35.05" hidden="false" customHeight="false" outlineLevel="0" collapsed="false">
      <c r="A56" s="2" t="n">
        <v>55</v>
      </c>
      <c r="B56" s="2" t="s">
        <v>18</v>
      </c>
      <c r="C56" s="2" t="s">
        <v>243</v>
      </c>
      <c r="D56" s="2" t="s">
        <v>244</v>
      </c>
      <c r="E56" s="2" t="n">
        <v>2026</v>
      </c>
      <c r="F56" s="2" t="s">
        <v>245</v>
      </c>
      <c r="G56" s="2" t="s">
        <v>48</v>
      </c>
      <c r="H56" s="2" t="s">
        <v>246</v>
      </c>
      <c r="I56" s="2" t="s">
        <v>24</v>
      </c>
      <c r="J56" s="2" t="s">
        <v>24</v>
      </c>
      <c r="K56" s="2" t="s">
        <v>24</v>
      </c>
      <c r="L56" s="2"/>
      <c r="M56" s="2"/>
      <c r="N56" s="2" t="s">
        <v>35</v>
      </c>
      <c r="O56" s="2" t="s">
        <v>36</v>
      </c>
      <c r="P56" s="2"/>
      <c r="Q56" s="3"/>
      <c r="R56" s="3"/>
    </row>
    <row r="57" customFormat="false" ht="23.85" hidden="false" customHeight="false" outlineLevel="0" collapsed="false">
      <c r="A57" s="2" t="n">
        <v>56</v>
      </c>
      <c r="B57" s="2" t="s">
        <v>18</v>
      </c>
      <c r="C57" s="2" t="s">
        <v>247</v>
      </c>
      <c r="D57" s="2" t="s">
        <v>248</v>
      </c>
      <c r="E57" s="2" t="n">
        <v>2026</v>
      </c>
      <c r="F57" s="2" t="s">
        <v>201</v>
      </c>
      <c r="G57" s="2" t="s">
        <v>48</v>
      </c>
      <c r="H57" s="2" t="s">
        <v>249</v>
      </c>
      <c r="I57" s="2" t="s">
        <v>24</v>
      </c>
      <c r="J57" s="2"/>
      <c r="K57" s="2" t="s">
        <v>24</v>
      </c>
      <c r="L57" s="2"/>
      <c r="M57" s="2" t="s">
        <v>24</v>
      </c>
      <c r="N57" s="2" t="s">
        <v>35</v>
      </c>
      <c r="O57" s="2" t="s">
        <v>36</v>
      </c>
      <c r="P57" s="2"/>
      <c r="Q57" s="3"/>
      <c r="R57" s="3"/>
    </row>
    <row r="58" customFormat="false" ht="23.85" hidden="false" customHeight="false" outlineLevel="0" collapsed="false">
      <c r="A58" s="2" t="n">
        <v>57</v>
      </c>
      <c r="B58" s="2" t="s">
        <v>18</v>
      </c>
      <c r="C58" s="2" t="s">
        <v>250</v>
      </c>
      <c r="D58" s="2" t="s">
        <v>251</v>
      </c>
      <c r="E58" s="2" t="n">
        <v>2024</v>
      </c>
      <c r="F58" s="2" t="s">
        <v>252</v>
      </c>
      <c r="G58" s="2" t="s">
        <v>48</v>
      </c>
      <c r="H58" s="2" t="s">
        <v>253</v>
      </c>
      <c r="I58" s="2"/>
      <c r="J58" s="2"/>
      <c r="K58" s="2" t="s">
        <v>24</v>
      </c>
      <c r="L58" s="2"/>
      <c r="M58" s="2" t="s">
        <v>24</v>
      </c>
      <c r="N58" s="2" t="s">
        <v>128</v>
      </c>
      <c r="O58" s="2" t="s">
        <v>129</v>
      </c>
      <c r="P58" s="2"/>
      <c r="Q58" s="3"/>
      <c r="R58" s="3"/>
    </row>
    <row r="59" customFormat="false" ht="35.05" hidden="false" customHeight="false" outlineLevel="0" collapsed="false">
      <c r="A59" s="2" t="n">
        <v>58</v>
      </c>
      <c r="B59" s="2" t="s">
        <v>18</v>
      </c>
      <c r="C59" s="2" t="s">
        <v>254</v>
      </c>
      <c r="D59" s="2" t="s">
        <v>255</v>
      </c>
      <c r="E59" s="2" t="n">
        <v>2026</v>
      </c>
      <c r="F59" s="2" t="s">
        <v>256</v>
      </c>
      <c r="G59" s="2" t="s">
        <v>22</v>
      </c>
      <c r="H59" s="2" t="s">
        <v>257</v>
      </c>
      <c r="I59" s="2" t="s">
        <v>24</v>
      </c>
      <c r="J59" s="2"/>
      <c r="K59" s="2" t="s">
        <v>24</v>
      </c>
      <c r="L59" s="2"/>
      <c r="M59" s="2" t="s">
        <v>24</v>
      </c>
      <c r="N59" s="2" t="s">
        <v>35</v>
      </c>
      <c r="O59" s="2" t="s">
        <v>36</v>
      </c>
      <c r="P59" s="2"/>
      <c r="Q59" s="3"/>
      <c r="R59" s="3"/>
    </row>
    <row r="60" customFormat="false" ht="46.25" hidden="false" customHeight="false" outlineLevel="0" collapsed="false">
      <c r="A60" s="2" t="n">
        <v>59</v>
      </c>
      <c r="B60" s="2" t="s">
        <v>18</v>
      </c>
      <c r="C60" s="2" t="s">
        <v>258</v>
      </c>
      <c r="D60" s="2" t="s">
        <v>259</v>
      </c>
      <c r="E60" s="2" t="n">
        <v>2026</v>
      </c>
      <c r="F60" s="2" t="s">
        <v>260</v>
      </c>
      <c r="G60" s="2" t="s">
        <v>22</v>
      </c>
      <c r="H60" s="2" t="s">
        <v>261</v>
      </c>
      <c r="I60" s="2" t="s">
        <v>24</v>
      </c>
      <c r="J60" s="2"/>
      <c r="K60" s="2" t="s">
        <v>24</v>
      </c>
      <c r="L60" s="2"/>
      <c r="M60" s="2"/>
      <c r="N60" s="2" t="s">
        <v>35</v>
      </c>
      <c r="O60" s="2" t="s">
        <v>36</v>
      </c>
      <c r="P60" s="2"/>
      <c r="Q60" s="3"/>
      <c r="R60" s="3"/>
    </row>
    <row r="61" customFormat="false" ht="35.05" hidden="false" customHeight="false" outlineLevel="0" collapsed="false">
      <c r="A61" s="2" t="n">
        <v>60</v>
      </c>
      <c r="B61" s="2" t="s">
        <v>18</v>
      </c>
      <c r="C61" s="2" t="s">
        <v>262</v>
      </c>
      <c r="D61" s="2" t="s">
        <v>263</v>
      </c>
      <c r="E61" s="2" t="n">
        <v>2025</v>
      </c>
      <c r="F61" s="2" t="s">
        <v>264</v>
      </c>
      <c r="G61" s="2" t="s">
        <v>48</v>
      </c>
      <c r="H61" s="2" t="s">
        <v>265</v>
      </c>
      <c r="I61" s="2" t="s">
        <v>24</v>
      </c>
      <c r="J61" s="2"/>
      <c r="K61" s="2" t="s">
        <v>24</v>
      </c>
      <c r="L61" s="2"/>
      <c r="M61" s="2" t="s">
        <v>24</v>
      </c>
      <c r="N61" s="2" t="s">
        <v>35</v>
      </c>
      <c r="O61" s="2" t="s">
        <v>36</v>
      </c>
      <c r="P61" s="2"/>
      <c r="Q61" s="3"/>
      <c r="R61" s="3"/>
    </row>
    <row r="62" customFormat="false" ht="46.25" hidden="false" customHeight="false" outlineLevel="0" collapsed="false">
      <c r="A62" s="2" t="n">
        <v>61</v>
      </c>
      <c r="B62" s="2" t="s">
        <v>18</v>
      </c>
      <c r="C62" s="2" t="s">
        <v>266</v>
      </c>
      <c r="D62" s="2" t="s">
        <v>267</v>
      </c>
      <c r="E62" s="2" t="n">
        <v>2025</v>
      </c>
      <c r="F62" s="2" t="s">
        <v>268</v>
      </c>
      <c r="G62" s="2" t="s">
        <v>22</v>
      </c>
      <c r="H62" s="2" t="s">
        <v>269</v>
      </c>
      <c r="I62" s="2" t="s">
        <v>24</v>
      </c>
      <c r="J62" s="2"/>
      <c r="K62" s="2" t="s">
        <v>24</v>
      </c>
      <c r="L62" s="2"/>
      <c r="M62" s="2"/>
      <c r="N62" s="2" t="s">
        <v>35</v>
      </c>
      <c r="O62" s="2" t="s">
        <v>36</v>
      </c>
      <c r="P62" s="2"/>
      <c r="Q62" s="3"/>
      <c r="R62" s="3"/>
    </row>
    <row r="63" customFormat="false" ht="35.05" hidden="false" customHeight="false" outlineLevel="0" collapsed="false">
      <c r="A63" s="2" t="n">
        <v>62</v>
      </c>
      <c r="B63" s="2" t="s">
        <v>18</v>
      </c>
      <c r="C63" s="2" t="s">
        <v>270</v>
      </c>
      <c r="D63" s="2" t="s">
        <v>271</v>
      </c>
      <c r="E63" s="2" t="n">
        <v>2026</v>
      </c>
      <c r="F63" s="2" t="s">
        <v>272</v>
      </c>
      <c r="G63" s="2" t="s">
        <v>48</v>
      </c>
      <c r="H63" s="2" t="s">
        <v>273</v>
      </c>
      <c r="I63" s="2" t="s">
        <v>24</v>
      </c>
      <c r="J63" s="2"/>
      <c r="K63" s="2" t="s">
        <v>24</v>
      </c>
      <c r="L63" s="2"/>
      <c r="M63" s="2" t="s">
        <v>24</v>
      </c>
      <c r="N63" s="2" t="s">
        <v>25</v>
      </c>
      <c r="O63" s="2" t="s">
        <v>26</v>
      </c>
      <c r="P63" s="2"/>
      <c r="Q63" s="3"/>
      <c r="R63" s="3"/>
    </row>
    <row r="64" customFormat="false" ht="46.25" hidden="false" customHeight="false" outlineLevel="0" collapsed="false">
      <c r="A64" s="2" t="n">
        <v>63</v>
      </c>
      <c r="B64" s="2" t="s">
        <v>18</v>
      </c>
      <c r="C64" s="2" t="s">
        <v>274</v>
      </c>
      <c r="D64" s="2" t="s">
        <v>275</v>
      </c>
      <c r="E64" s="2" t="n">
        <v>2025</v>
      </c>
      <c r="F64" s="2" t="s">
        <v>276</v>
      </c>
      <c r="G64" s="2" t="s">
        <v>22</v>
      </c>
      <c r="H64" s="2" t="s">
        <v>277</v>
      </c>
      <c r="I64" s="2" t="s">
        <v>24</v>
      </c>
      <c r="J64" s="2"/>
      <c r="K64" s="2" t="s">
        <v>24</v>
      </c>
      <c r="L64" s="2"/>
      <c r="M64" s="2"/>
      <c r="N64" s="2" t="s">
        <v>35</v>
      </c>
      <c r="O64" s="2" t="s">
        <v>36</v>
      </c>
      <c r="P64" s="2"/>
      <c r="Q64" s="3"/>
      <c r="R64" s="3"/>
    </row>
    <row r="65" customFormat="false" ht="23.85" hidden="false" customHeight="false" outlineLevel="0" collapsed="false">
      <c r="A65" s="2" t="n">
        <v>64</v>
      </c>
      <c r="B65" s="2" t="s">
        <v>18</v>
      </c>
      <c r="C65" s="2" t="s">
        <v>278</v>
      </c>
      <c r="D65" s="2" t="s">
        <v>279</v>
      </c>
      <c r="E65" s="2" t="n">
        <v>2026</v>
      </c>
      <c r="F65" s="2" t="s">
        <v>201</v>
      </c>
      <c r="G65" s="2" t="s">
        <v>48</v>
      </c>
      <c r="H65" s="2" t="s">
        <v>280</v>
      </c>
      <c r="I65" s="2" t="s">
        <v>24</v>
      </c>
      <c r="J65" s="2"/>
      <c r="K65" s="2" t="s">
        <v>24</v>
      </c>
      <c r="L65" s="2"/>
      <c r="M65" s="2" t="s">
        <v>24</v>
      </c>
      <c r="N65" s="2" t="s">
        <v>35</v>
      </c>
      <c r="O65" s="2" t="s">
        <v>36</v>
      </c>
      <c r="P65" s="2"/>
      <c r="Q65" s="3"/>
      <c r="R65" s="3"/>
    </row>
    <row r="66" customFormat="false" ht="23.85" hidden="false" customHeight="false" outlineLevel="0" collapsed="false">
      <c r="A66" s="2" t="n">
        <v>65</v>
      </c>
      <c r="B66" s="2" t="s">
        <v>18</v>
      </c>
      <c r="C66" s="2" t="s">
        <v>281</v>
      </c>
      <c r="D66" s="2" t="s">
        <v>282</v>
      </c>
      <c r="E66" s="2" t="n">
        <v>2025</v>
      </c>
      <c r="F66" s="2" t="s">
        <v>283</v>
      </c>
      <c r="G66" s="2" t="s">
        <v>48</v>
      </c>
      <c r="H66" s="2" t="s">
        <v>284</v>
      </c>
      <c r="I66" s="2"/>
      <c r="J66" s="2"/>
      <c r="K66" s="2" t="s">
        <v>24</v>
      </c>
      <c r="L66" s="2"/>
      <c r="M66" s="2" t="s">
        <v>24</v>
      </c>
      <c r="N66" s="2" t="s">
        <v>128</v>
      </c>
      <c r="O66" s="2" t="s">
        <v>129</v>
      </c>
      <c r="P66" s="2"/>
      <c r="Q66" s="3"/>
      <c r="R66" s="3"/>
    </row>
    <row r="67" customFormat="false" ht="23.85" hidden="false" customHeight="false" outlineLevel="0" collapsed="false">
      <c r="A67" s="2" t="n">
        <v>66</v>
      </c>
      <c r="B67" s="2" t="s">
        <v>18</v>
      </c>
      <c r="C67" s="2" t="s">
        <v>285</v>
      </c>
      <c r="D67" s="2" t="s">
        <v>286</v>
      </c>
      <c r="E67" s="2" t="n">
        <v>2025</v>
      </c>
      <c r="F67" s="2" t="s">
        <v>47</v>
      </c>
      <c r="G67" s="2" t="s">
        <v>48</v>
      </c>
      <c r="H67" s="2" t="s">
        <v>287</v>
      </c>
      <c r="I67" s="2" t="s">
        <v>24</v>
      </c>
      <c r="J67" s="2"/>
      <c r="K67" s="2" t="s">
        <v>24</v>
      </c>
      <c r="L67" s="2"/>
      <c r="M67" s="2"/>
      <c r="N67" s="2" t="s">
        <v>35</v>
      </c>
      <c r="O67" s="2" t="s">
        <v>36</v>
      </c>
      <c r="P67" s="2"/>
      <c r="Q67" s="3"/>
      <c r="R67" s="3"/>
    </row>
    <row r="68" customFormat="false" ht="46.25" hidden="false" customHeight="false" outlineLevel="0" collapsed="false">
      <c r="A68" s="2" t="n">
        <v>67</v>
      </c>
      <c r="B68" s="2" t="s">
        <v>18</v>
      </c>
      <c r="C68" s="2" t="s">
        <v>288</v>
      </c>
      <c r="D68" s="2" t="s">
        <v>289</v>
      </c>
      <c r="E68" s="2" t="n">
        <v>2025</v>
      </c>
      <c r="F68" s="2" t="s">
        <v>290</v>
      </c>
      <c r="G68" s="2" t="s">
        <v>22</v>
      </c>
      <c r="H68" s="2" t="s">
        <v>291</v>
      </c>
      <c r="I68" s="2" t="s">
        <v>24</v>
      </c>
      <c r="J68" s="2"/>
      <c r="K68" s="2" t="s">
        <v>24</v>
      </c>
      <c r="L68" s="2"/>
      <c r="M68" s="2" t="s">
        <v>24</v>
      </c>
      <c r="N68" s="2" t="s">
        <v>35</v>
      </c>
      <c r="O68" s="2" t="s">
        <v>36</v>
      </c>
      <c r="P68" s="2"/>
      <c r="Q68" s="3"/>
      <c r="R68" s="3"/>
    </row>
    <row r="69" customFormat="false" ht="57.45" hidden="false" customHeight="false" outlineLevel="0" collapsed="false">
      <c r="A69" s="2" t="n">
        <v>68</v>
      </c>
      <c r="B69" s="2" t="s">
        <v>18</v>
      </c>
      <c r="C69" s="2" t="s">
        <v>292</v>
      </c>
      <c r="D69" s="2" t="s">
        <v>293</v>
      </c>
      <c r="E69" s="2" t="n">
        <v>2025</v>
      </c>
      <c r="F69" s="2" t="s">
        <v>294</v>
      </c>
      <c r="G69" s="2" t="s">
        <v>22</v>
      </c>
      <c r="H69" s="2" t="s">
        <v>295</v>
      </c>
      <c r="I69" s="2" t="s">
        <v>24</v>
      </c>
      <c r="J69" s="2"/>
      <c r="K69" s="2" t="s">
        <v>24</v>
      </c>
      <c r="L69" s="2"/>
      <c r="M69" s="2" t="s">
        <v>24</v>
      </c>
      <c r="N69" s="2" t="s">
        <v>25</v>
      </c>
      <c r="O69" s="2" t="s">
        <v>26</v>
      </c>
      <c r="P69" s="2"/>
      <c r="Q69" s="3"/>
      <c r="R69" s="3"/>
    </row>
    <row r="70" customFormat="false" ht="46.25" hidden="false" customHeight="false" outlineLevel="0" collapsed="false">
      <c r="A70" s="2" t="n">
        <v>69</v>
      </c>
      <c r="B70" s="2" t="s">
        <v>18</v>
      </c>
      <c r="C70" s="2" t="s">
        <v>296</v>
      </c>
      <c r="D70" s="2" t="s">
        <v>297</v>
      </c>
      <c r="E70" s="2" t="n">
        <v>2025</v>
      </c>
      <c r="F70" s="2" t="s">
        <v>298</v>
      </c>
      <c r="G70" s="2" t="s">
        <v>22</v>
      </c>
      <c r="H70" s="2" t="s">
        <v>299</v>
      </c>
      <c r="I70" s="2" t="s">
        <v>24</v>
      </c>
      <c r="J70" s="2"/>
      <c r="K70" s="2" t="s">
        <v>24</v>
      </c>
      <c r="L70" s="2"/>
      <c r="M70" s="2" t="s">
        <v>24</v>
      </c>
      <c r="N70" s="2" t="s">
        <v>35</v>
      </c>
      <c r="O70" s="2" t="s">
        <v>36</v>
      </c>
      <c r="P70" s="2"/>
      <c r="Q70" s="3"/>
      <c r="R70" s="3"/>
    </row>
    <row r="71" customFormat="false" ht="46.25" hidden="false" customHeight="false" outlineLevel="0" collapsed="false">
      <c r="A71" s="2" t="n">
        <v>70</v>
      </c>
      <c r="B71" s="2" t="s">
        <v>18</v>
      </c>
      <c r="C71" s="2" t="s">
        <v>300</v>
      </c>
      <c r="D71" s="2" t="s">
        <v>301</v>
      </c>
      <c r="E71" s="2" t="n">
        <v>2025</v>
      </c>
      <c r="F71" s="2" t="s">
        <v>302</v>
      </c>
      <c r="G71" s="2" t="s">
        <v>22</v>
      </c>
      <c r="H71" s="2" t="s">
        <v>303</v>
      </c>
      <c r="I71" s="2" t="s">
        <v>24</v>
      </c>
      <c r="J71" s="2"/>
      <c r="K71" s="2" t="s">
        <v>24</v>
      </c>
      <c r="L71" s="2"/>
      <c r="M71" s="2" t="s">
        <v>24</v>
      </c>
      <c r="N71" s="2" t="s">
        <v>35</v>
      </c>
      <c r="O71" s="2" t="s">
        <v>36</v>
      </c>
      <c r="P71" s="2"/>
      <c r="Q71" s="3"/>
      <c r="R71" s="3"/>
    </row>
    <row r="72" customFormat="false" ht="35.05" hidden="false" customHeight="false" outlineLevel="0" collapsed="false">
      <c r="A72" s="2" t="n">
        <v>71</v>
      </c>
      <c r="B72" s="2" t="s">
        <v>18</v>
      </c>
      <c r="C72" s="2" t="s">
        <v>304</v>
      </c>
      <c r="D72" s="2" t="s">
        <v>305</v>
      </c>
      <c r="E72" s="2" t="n">
        <v>2026</v>
      </c>
      <c r="F72" s="2" t="s">
        <v>152</v>
      </c>
      <c r="G72" s="2" t="s">
        <v>48</v>
      </c>
      <c r="H72" s="2" t="s">
        <v>306</v>
      </c>
      <c r="I72" s="2" t="s">
        <v>24</v>
      </c>
      <c r="J72" s="2"/>
      <c r="K72" s="2" t="s">
        <v>24</v>
      </c>
      <c r="L72" s="2"/>
      <c r="M72" s="2"/>
      <c r="N72" s="2" t="s">
        <v>35</v>
      </c>
      <c r="O72" s="2" t="s">
        <v>36</v>
      </c>
      <c r="P72" s="2"/>
      <c r="Q72" s="3"/>
      <c r="R72" s="3"/>
    </row>
    <row r="73" customFormat="false" ht="23.85" hidden="false" customHeight="false" outlineLevel="0" collapsed="false">
      <c r="A73" s="2" t="n">
        <v>72</v>
      </c>
      <c r="B73" s="2" t="s">
        <v>18</v>
      </c>
      <c r="C73" s="2" t="s">
        <v>307</v>
      </c>
      <c r="D73" s="2" t="s">
        <v>308</v>
      </c>
      <c r="E73" s="2" t="n">
        <v>2025</v>
      </c>
      <c r="F73" s="2" t="s">
        <v>309</v>
      </c>
      <c r="G73" s="2" t="s">
        <v>48</v>
      </c>
      <c r="H73" s="2" t="s">
        <v>310</v>
      </c>
      <c r="I73" s="2" t="s">
        <v>24</v>
      </c>
      <c r="J73" s="2"/>
      <c r="K73" s="2" t="s">
        <v>24</v>
      </c>
      <c r="L73" s="2"/>
      <c r="M73" s="2"/>
      <c r="N73" s="2" t="s">
        <v>35</v>
      </c>
      <c r="O73" s="2" t="s">
        <v>36</v>
      </c>
      <c r="P73" s="2"/>
      <c r="Q73" s="3"/>
      <c r="R73" s="3"/>
    </row>
    <row r="74" customFormat="false" ht="46.25" hidden="false" customHeight="false" outlineLevel="0" collapsed="false">
      <c r="A74" s="2" t="n">
        <v>73</v>
      </c>
      <c r="B74" s="2" t="s">
        <v>18</v>
      </c>
      <c r="C74" s="2" t="s">
        <v>311</v>
      </c>
      <c r="D74" s="2" t="s">
        <v>312</v>
      </c>
      <c r="E74" s="2" t="n">
        <v>2026</v>
      </c>
      <c r="F74" s="2" t="s">
        <v>313</v>
      </c>
      <c r="G74" s="2" t="s">
        <v>22</v>
      </c>
      <c r="H74" s="2" t="s">
        <v>314</v>
      </c>
      <c r="I74" s="2" t="s">
        <v>24</v>
      </c>
      <c r="J74" s="2"/>
      <c r="K74" s="2" t="s">
        <v>24</v>
      </c>
      <c r="L74" s="2"/>
      <c r="M74" s="2"/>
      <c r="N74" s="2" t="s">
        <v>25</v>
      </c>
      <c r="O74" s="2" t="s">
        <v>26</v>
      </c>
      <c r="P74" s="2"/>
      <c r="Q74" s="3"/>
      <c r="R74" s="3"/>
    </row>
    <row r="75" customFormat="false" ht="46.25" hidden="false" customHeight="false" outlineLevel="0" collapsed="false">
      <c r="A75" s="2" t="n">
        <v>74</v>
      </c>
      <c r="B75" s="2" t="s">
        <v>18</v>
      </c>
      <c r="C75" s="2" t="s">
        <v>315</v>
      </c>
      <c r="D75" s="2" t="s">
        <v>316</v>
      </c>
      <c r="E75" s="2" t="n">
        <v>2025</v>
      </c>
      <c r="F75" s="2" t="s">
        <v>317</v>
      </c>
      <c r="G75" s="2" t="s">
        <v>22</v>
      </c>
      <c r="H75" s="2" t="s">
        <v>318</v>
      </c>
      <c r="I75" s="2" t="s">
        <v>24</v>
      </c>
      <c r="J75" s="2"/>
      <c r="K75" s="2" t="s">
        <v>24</v>
      </c>
      <c r="L75" s="2"/>
      <c r="M75" s="2"/>
      <c r="N75" s="2" t="s">
        <v>35</v>
      </c>
      <c r="O75" s="2" t="s">
        <v>36</v>
      </c>
      <c r="P75" s="2"/>
      <c r="Q75" s="3"/>
      <c r="R75" s="3"/>
    </row>
    <row r="76" customFormat="false" ht="23.85" hidden="false" customHeight="false" outlineLevel="0" collapsed="false">
      <c r="A76" s="2" t="n">
        <v>75</v>
      </c>
      <c r="B76" s="2" t="s">
        <v>18</v>
      </c>
      <c r="C76" s="2" t="s">
        <v>319</v>
      </c>
      <c r="D76" s="2" t="s">
        <v>320</v>
      </c>
      <c r="E76" s="2" t="n">
        <v>2026</v>
      </c>
      <c r="F76" s="2" t="s">
        <v>321</v>
      </c>
      <c r="G76" s="2" t="s">
        <v>48</v>
      </c>
      <c r="H76" s="2" t="s">
        <v>322</v>
      </c>
      <c r="I76" s="2" t="s">
        <v>24</v>
      </c>
      <c r="J76" s="2"/>
      <c r="K76" s="2" t="s">
        <v>24</v>
      </c>
      <c r="L76" s="2"/>
      <c r="M76" s="2" t="s">
        <v>24</v>
      </c>
      <c r="N76" s="2" t="s">
        <v>35</v>
      </c>
      <c r="O76" s="2" t="s">
        <v>36</v>
      </c>
      <c r="P76" s="2"/>
      <c r="Q76" s="3"/>
      <c r="R76" s="3"/>
    </row>
    <row r="77" customFormat="false" ht="46.25" hidden="false" customHeight="false" outlineLevel="0" collapsed="false">
      <c r="A77" s="2" t="n">
        <v>76</v>
      </c>
      <c r="B77" s="2" t="s">
        <v>18</v>
      </c>
      <c r="C77" s="2" t="s">
        <v>323</v>
      </c>
      <c r="D77" s="2" t="s">
        <v>324</v>
      </c>
      <c r="E77" s="2" t="n">
        <v>2026</v>
      </c>
      <c r="F77" s="2" t="s">
        <v>325</v>
      </c>
      <c r="G77" s="2" t="s">
        <v>22</v>
      </c>
      <c r="H77" s="2" t="s">
        <v>326</v>
      </c>
      <c r="I77" s="2" t="s">
        <v>24</v>
      </c>
      <c r="J77" s="2"/>
      <c r="K77" s="2" t="s">
        <v>24</v>
      </c>
      <c r="L77" s="2"/>
      <c r="M77" s="2" t="s">
        <v>24</v>
      </c>
      <c r="N77" s="2" t="s">
        <v>158</v>
      </c>
      <c r="O77" s="2" t="s">
        <v>159</v>
      </c>
      <c r="P77" s="2"/>
      <c r="Q77" s="3"/>
      <c r="R77" s="3"/>
    </row>
    <row r="78" customFormat="false" ht="46.25" hidden="false" customHeight="false" outlineLevel="0" collapsed="false">
      <c r="A78" s="2" t="n">
        <v>77</v>
      </c>
      <c r="B78" s="2" t="s">
        <v>18</v>
      </c>
      <c r="C78" s="2" t="s">
        <v>327</v>
      </c>
      <c r="D78" s="2" t="s">
        <v>328</v>
      </c>
      <c r="E78" s="2" t="n">
        <v>2025</v>
      </c>
      <c r="F78" s="2" t="s">
        <v>329</v>
      </c>
      <c r="G78" s="2" t="s">
        <v>22</v>
      </c>
      <c r="H78" s="2" t="s">
        <v>330</v>
      </c>
      <c r="I78" s="2" t="s">
        <v>24</v>
      </c>
      <c r="J78" s="2"/>
      <c r="K78" s="2" t="s">
        <v>24</v>
      </c>
      <c r="L78" s="2"/>
      <c r="M78" s="2"/>
      <c r="N78" s="2" t="s">
        <v>35</v>
      </c>
      <c r="O78" s="2" t="s">
        <v>36</v>
      </c>
      <c r="P78" s="2"/>
      <c r="Q78" s="3"/>
      <c r="R78" s="3"/>
    </row>
    <row r="79" customFormat="false" ht="46.25" hidden="false" customHeight="false" outlineLevel="0" collapsed="false">
      <c r="A79" s="2" t="n">
        <v>78</v>
      </c>
      <c r="B79" s="2" t="s">
        <v>18</v>
      </c>
      <c r="C79" s="2" t="s">
        <v>331</v>
      </c>
      <c r="D79" s="2" t="s">
        <v>332</v>
      </c>
      <c r="E79" s="2" t="n">
        <v>2025</v>
      </c>
      <c r="F79" s="2" t="s">
        <v>333</v>
      </c>
      <c r="G79" s="2" t="s">
        <v>22</v>
      </c>
      <c r="H79" s="2" t="s">
        <v>334</v>
      </c>
      <c r="I79" s="2" t="s">
        <v>24</v>
      </c>
      <c r="J79" s="2"/>
      <c r="K79" s="2" t="s">
        <v>24</v>
      </c>
      <c r="L79" s="2"/>
      <c r="M79" s="2" t="s">
        <v>24</v>
      </c>
      <c r="N79" s="2" t="s">
        <v>35</v>
      </c>
      <c r="O79" s="2" t="s">
        <v>36</v>
      </c>
      <c r="P79" s="2"/>
      <c r="Q79" s="3"/>
      <c r="R79" s="3"/>
    </row>
    <row r="80" customFormat="false" ht="23.85" hidden="false" customHeight="false" outlineLevel="0" collapsed="false">
      <c r="A80" s="4" t="n">
        <v>79</v>
      </c>
      <c r="B80" s="4" t="s">
        <v>18</v>
      </c>
      <c r="C80" s="4" t="s">
        <v>335</v>
      </c>
      <c r="D80" s="4" t="s">
        <v>336</v>
      </c>
      <c r="E80" s="4" t="n">
        <v>2026</v>
      </c>
      <c r="F80" s="4" t="s">
        <v>337</v>
      </c>
      <c r="G80" s="4" t="s">
        <v>48</v>
      </c>
      <c r="H80" s="4" t="s">
        <v>338</v>
      </c>
      <c r="I80" s="4" t="s">
        <v>24</v>
      </c>
      <c r="J80" s="4" t="s">
        <v>24</v>
      </c>
      <c r="K80" s="4" t="s">
        <v>24</v>
      </c>
      <c r="L80" s="4"/>
      <c r="M80" s="4" t="s">
        <v>24</v>
      </c>
      <c r="N80" s="4" t="s">
        <v>35</v>
      </c>
      <c r="O80" s="4" t="s">
        <v>36</v>
      </c>
      <c r="P80" s="4" t="s">
        <v>107</v>
      </c>
      <c r="Q80" s="5"/>
      <c r="R80" s="5"/>
    </row>
    <row r="81" customFormat="false" ht="46.25" hidden="false" customHeight="false" outlineLevel="0" collapsed="false">
      <c r="A81" s="2" t="n">
        <v>80</v>
      </c>
      <c r="B81" s="2" t="s">
        <v>18</v>
      </c>
      <c r="C81" s="2" t="s">
        <v>339</v>
      </c>
      <c r="D81" s="2" t="s">
        <v>340</v>
      </c>
      <c r="E81" s="2" t="n">
        <v>2026</v>
      </c>
      <c r="F81" s="2" t="s">
        <v>341</v>
      </c>
      <c r="G81" s="2" t="s">
        <v>22</v>
      </c>
      <c r="H81" s="2" t="s">
        <v>342</v>
      </c>
      <c r="I81" s="2" t="s">
        <v>24</v>
      </c>
      <c r="J81" s="2"/>
      <c r="K81" s="2" t="s">
        <v>24</v>
      </c>
      <c r="L81" s="2"/>
      <c r="M81" s="2" t="s">
        <v>24</v>
      </c>
      <c r="N81" s="2" t="s">
        <v>35</v>
      </c>
      <c r="O81" s="2" t="s">
        <v>36</v>
      </c>
      <c r="P81" s="2"/>
      <c r="Q81" s="3"/>
      <c r="R81" s="3"/>
    </row>
    <row r="82" customFormat="false" ht="46.25" hidden="false" customHeight="false" outlineLevel="0" collapsed="false">
      <c r="A82" s="2" t="n">
        <v>81</v>
      </c>
      <c r="B82" s="2" t="s">
        <v>18</v>
      </c>
      <c r="C82" s="2" t="s">
        <v>343</v>
      </c>
      <c r="D82" s="2" t="s">
        <v>344</v>
      </c>
      <c r="E82" s="2" t="n">
        <v>2026</v>
      </c>
      <c r="F82" s="2" t="s">
        <v>345</v>
      </c>
      <c r="G82" s="2" t="s">
        <v>22</v>
      </c>
      <c r="H82" s="2" t="s">
        <v>346</v>
      </c>
      <c r="I82" s="2" t="s">
        <v>24</v>
      </c>
      <c r="J82" s="2"/>
      <c r="K82" s="2" t="s">
        <v>24</v>
      </c>
      <c r="L82" s="2"/>
      <c r="M82" s="2"/>
      <c r="N82" s="2" t="s">
        <v>35</v>
      </c>
      <c r="O82" s="2" t="s">
        <v>36</v>
      </c>
      <c r="P82" s="2"/>
      <c r="Q82" s="3"/>
      <c r="R82" s="3"/>
    </row>
    <row r="83" customFormat="false" ht="35.05" hidden="false" customHeight="false" outlineLevel="0" collapsed="false">
      <c r="A83" s="2" t="n">
        <v>82</v>
      </c>
      <c r="B83" s="2" t="s">
        <v>18</v>
      </c>
      <c r="C83" s="2" t="s">
        <v>347</v>
      </c>
      <c r="D83" s="2" t="s">
        <v>348</v>
      </c>
      <c r="E83" s="2" t="n">
        <v>2025</v>
      </c>
      <c r="F83" s="2" t="s">
        <v>349</v>
      </c>
      <c r="G83" s="2" t="s">
        <v>48</v>
      </c>
      <c r="H83" s="2" t="s">
        <v>350</v>
      </c>
      <c r="I83" s="2" t="s">
        <v>24</v>
      </c>
      <c r="J83" s="2"/>
      <c r="K83" s="2" t="s">
        <v>24</v>
      </c>
      <c r="L83" s="2"/>
      <c r="M83" s="2" t="s">
        <v>24</v>
      </c>
      <c r="N83" s="2" t="s">
        <v>35</v>
      </c>
      <c r="O83" s="2" t="s">
        <v>36</v>
      </c>
      <c r="P83" s="2"/>
      <c r="Q83" s="3"/>
      <c r="R83" s="3"/>
    </row>
    <row r="84" customFormat="false" ht="46.25" hidden="false" customHeight="false" outlineLevel="0" collapsed="false">
      <c r="A84" s="2" t="n">
        <v>83</v>
      </c>
      <c r="B84" s="2" t="s">
        <v>18</v>
      </c>
      <c r="C84" s="2" t="s">
        <v>351</v>
      </c>
      <c r="D84" s="2" t="s">
        <v>352</v>
      </c>
      <c r="E84" s="2" t="n">
        <v>2026</v>
      </c>
      <c r="F84" s="2" t="s">
        <v>353</v>
      </c>
      <c r="G84" s="2" t="s">
        <v>22</v>
      </c>
      <c r="H84" s="2" t="s">
        <v>354</v>
      </c>
      <c r="I84" s="2" t="s">
        <v>24</v>
      </c>
      <c r="J84" s="2" t="s">
        <v>24</v>
      </c>
      <c r="K84" s="2" t="s">
        <v>24</v>
      </c>
      <c r="L84" s="2"/>
      <c r="M84" s="2"/>
      <c r="N84" s="2" t="s">
        <v>35</v>
      </c>
      <c r="O84" s="2" t="s">
        <v>36</v>
      </c>
      <c r="P84" s="2"/>
      <c r="Q84" s="3"/>
      <c r="R84" s="3"/>
    </row>
    <row r="85" customFormat="false" ht="35.05" hidden="false" customHeight="false" outlineLevel="0" collapsed="false">
      <c r="A85" s="2" t="n">
        <v>84</v>
      </c>
      <c r="B85" s="2" t="s">
        <v>18</v>
      </c>
      <c r="C85" s="2" t="s">
        <v>355</v>
      </c>
      <c r="D85" s="2" t="s">
        <v>356</v>
      </c>
      <c r="E85" s="2" t="n">
        <v>2026</v>
      </c>
      <c r="F85" s="2" t="s">
        <v>105</v>
      </c>
      <c r="G85" s="2" t="s">
        <v>48</v>
      </c>
      <c r="H85" s="2" t="s">
        <v>357</v>
      </c>
      <c r="I85" s="2" t="s">
        <v>24</v>
      </c>
      <c r="J85" s="2"/>
      <c r="K85" s="2" t="s">
        <v>24</v>
      </c>
      <c r="L85" s="2"/>
      <c r="M85" s="2" t="s">
        <v>24</v>
      </c>
      <c r="N85" s="2" t="s">
        <v>35</v>
      </c>
      <c r="O85" s="2" t="s">
        <v>36</v>
      </c>
      <c r="P85" s="2"/>
      <c r="Q85" s="3"/>
      <c r="R85" s="3"/>
    </row>
    <row r="86" customFormat="false" ht="23.85" hidden="false" customHeight="false" outlineLevel="0" collapsed="false">
      <c r="A86" s="2" t="n">
        <v>85</v>
      </c>
      <c r="B86" s="2" t="s">
        <v>18</v>
      </c>
      <c r="C86" s="2" t="s">
        <v>358</v>
      </c>
      <c r="D86" s="2" t="s">
        <v>359</v>
      </c>
      <c r="E86" s="2" t="n">
        <v>2026</v>
      </c>
      <c r="F86" s="2" t="s">
        <v>360</v>
      </c>
      <c r="G86" s="2" t="s">
        <v>48</v>
      </c>
      <c r="H86" s="2" t="s">
        <v>361</v>
      </c>
      <c r="I86" s="2" t="s">
        <v>24</v>
      </c>
      <c r="J86" s="2"/>
      <c r="K86" s="2" t="s">
        <v>24</v>
      </c>
      <c r="L86" s="2"/>
      <c r="M86" s="2"/>
      <c r="N86" s="2" t="s">
        <v>35</v>
      </c>
      <c r="O86" s="2" t="s">
        <v>36</v>
      </c>
      <c r="P86" s="2"/>
      <c r="Q86" s="3"/>
      <c r="R86" s="3"/>
    </row>
    <row r="87" customFormat="false" ht="23.85" hidden="false" customHeight="false" outlineLevel="0" collapsed="false">
      <c r="A87" s="2" t="n">
        <v>86</v>
      </c>
      <c r="B87" s="2" t="s">
        <v>18</v>
      </c>
      <c r="C87" s="2" t="s">
        <v>362</v>
      </c>
      <c r="D87" s="2" t="s">
        <v>363</v>
      </c>
      <c r="E87" s="2" t="n">
        <v>2026</v>
      </c>
      <c r="F87" s="2" t="s">
        <v>364</v>
      </c>
      <c r="G87" s="2" t="s">
        <v>48</v>
      </c>
      <c r="H87" s="2" t="s">
        <v>365</v>
      </c>
      <c r="I87" s="2" t="s">
        <v>24</v>
      </c>
      <c r="J87" s="2" t="s">
        <v>24</v>
      </c>
      <c r="K87" s="2" t="s">
        <v>24</v>
      </c>
      <c r="L87" s="2"/>
      <c r="M87" s="2" t="s">
        <v>24</v>
      </c>
      <c r="N87" s="2" t="s">
        <v>35</v>
      </c>
      <c r="O87" s="2" t="s">
        <v>36</v>
      </c>
      <c r="P87" s="2"/>
      <c r="Q87" s="3"/>
      <c r="R87" s="3"/>
    </row>
    <row r="88" customFormat="false" ht="57.45" hidden="false" customHeight="false" outlineLevel="0" collapsed="false">
      <c r="A88" s="2" t="n">
        <v>87</v>
      </c>
      <c r="B88" s="2" t="s">
        <v>18</v>
      </c>
      <c r="C88" s="2" t="s">
        <v>366</v>
      </c>
      <c r="D88" s="2" t="s">
        <v>367</v>
      </c>
      <c r="E88" s="2" t="n">
        <v>2025</v>
      </c>
      <c r="F88" s="2" t="s">
        <v>368</v>
      </c>
      <c r="G88" s="2" t="s">
        <v>22</v>
      </c>
      <c r="H88" s="2" t="s">
        <v>369</v>
      </c>
      <c r="I88" s="2" t="s">
        <v>24</v>
      </c>
      <c r="J88" s="2"/>
      <c r="K88" s="2" t="s">
        <v>24</v>
      </c>
      <c r="L88" s="2"/>
      <c r="M88" s="2" t="s">
        <v>24</v>
      </c>
      <c r="N88" s="2" t="s">
        <v>35</v>
      </c>
      <c r="O88" s="2" t="s">
        <v>36</v>
      </c>
      <c r="P88" s="2"/>
      <c r="Q88" s="3"/>
      <c r="R88" s="3"/>
    </row>
    <row r="89" customFormat="false" ht="35.05" hidden="false" customHeight="false" outlineLevel="0" collapsed="false">
      <c r="A89" s="2" t="n">
        <v>88</v>
      </c>
      <c r="B89" s="2" t="s">
        <v>18</v>
      </c>
      <c r="C89" s="2" t="s">
        <v>370</v>
      </c>
      <c r="D89" s="2" t="s">
        <v>371</v>
      </c>
      <c r="E89" s="2" t="n">
        <v>2026</v>
      </c>
      <c r="F89" s="2" t="s">
        <v>372</v>
      </c>
      <c r="G89" s="2" t="s">
        <v>48</v>
      </c>
      <c r="H89" s="2" t="s">
        <v>373</v>
      </c>
      <c r="I89" s="2" t="s">
        <v>24</v>
      </c>
      <c r="J89" s="2"/>
      <c r="K89" s="2" t="s">
        <v>24</v>
      </c>
      <c r="L89" s="2"/>
      <c r="M89" s="2"/>
      <c r="N89" s="2" t="s">
        <v>35</v>
      </c>
      <c r="O89" s="2" t="s">
        <v>36</v>
      </c>
      <c r="P89" s="2"/>
      <c r="Q89" s="3"/>
      <c r="R89" s="3"/>
    </row>
    <row r="90" customFormat="false" ht="35.05" hidden="false" customHeight="false" outlineLevel="0" collapsed="false">
      <c r="A90" s="2" t="n">
        <v>89</v>
      </c>
      <c r="B90" s="2" t="s">
        <v>18</v>
      </c>
      <c r="C90" s="2" t="s">
        <v>374</v>
      </c>
      <c r="D90" s="2" t="s">
        <v>375</v>
      </c>
      <c r="E90" s="2" t="n">
        <v>2025</v>
      </c>
      <c r="F90" s="2" t="s">
        <v>376</v>
      </c>
      <c r="G90" s="2" t="s">
        <v>22</v>
      </c>
      <c r="H90" s="2" t="s">
        <v>377</v>
      </c>
      <c r="I90" s="2" t="s">
        <v>24</v>
      </c>
      <c r="J90" s="2"/>
      <c r="K90" s="2" t="s">
        <v>24</v>
      </c>
      <c r="L90" s="2"/>
      <c r="M90" s="2"/>
      <c r="N90" s="2" t="s">
        <v>35</v>
      </c>
      <c r="O90" s="2" t="s">
        <v>36</v>
      </c>
      <c r="P90" s="2"/>
      <c r="Q90" s="3"/>
      <c r="R90" s="3"/>
    </row>
    <row r="91" customFormat="false" ht="35.05" hidden="false" customHeight="false" outlineLevel="0" collapsed="false">
      <c r="A91" s="2" t="n">
        <v>90</v>
      </c>
      <c r="B91" s="2" t="s">
        <v>18</v>
      </c>
      <c r="C91" s="2" t="s">
        <v>378</v>
      </c>
      <c r="D91" s="2" t="s">
        <v>379</v>
      </c>
      <c r="E91" s="2" t="n">
        <v>2026</v>
      </c>
      <c r="F91" s="2" t="s">
        <v>380</v>
      </c>
      <c r="G91" s="2" t="s">
        <v>48</v>
      </c>
      <c r="H91" s="2" t="s">
        <v>381</v>
      </c>
      <c r="I91" s="2" t="s">
        <v>24</v>
      </c>
      <c r="J91" s="2"/>
      <c r="K91" s="2" t="s">
        <v>24</v>
      </c>
      <c r="L91" s="2"/>
      <c r="M91" s="2"/>
      <c r="N91" s="2" t="s">
        <v>35</v>
      </c>
      <c r="O91" s="2" t="s">
        <v>36</v>
      </c>
      <c r="P91" s="2"/>
      <c r="Q91" s="3"/>
      <c r="R91" s="3"/>
    </row>
    <row r="92" customFormat="false" ht="57.45" hidden="false" customHeight="false" outlineLevel="0" collapsed="false">
      <c r="A92" s="2" t="n">
        <v>91</v>
      </c>
      <c r="B92" s="2" t="s">
        <v>18</v>
      </c>
      <c r="C92" s="2" t="s">
        <v>382</v>
      </c>
      <c r="D92" s="2" t="s">
        <v>383</v>
      </c>
      <c r="E92" s="2" t="n">
        <v>2026</v>
      </c>
      <c r="F92" s="2" t="s">
        <v>384</v>
      </c>
      <c r="G92" s="2" t="s">
        <v>48</v>
      </c>
      <c r="H92" s="2" t="s">
        <v>385</v>
      </c>
      <c r="I92" s="2" t="s">
        <v>24</v>
      </c>
      <c r="J92" s="2"/>
      <c r="K92" s="2" t="s">
        <v>24</v>
      </c>
      <c r="L92" s="2"/>
      <c r="M92" s="2" t="s">
        <v>24</v>
      </c>
      <c r="N92" s="2" t="s">
        <v>35</v>
      </c>
      <c r="O92" s="2" t="s">
        <v>36</v>
      </c>
      <c r="P92" s="2"/>
      <c r="Q92" s="3"/>
      <c r="R92" s="3"/>
    </row>
    <row r="93" customFormat="false" ht="46.25" hidden="false" customHeight="false" outlineLevel="0" collapsed="false">
      <c r="A93" s="2" t="n">
        <v>92</v>
      </c>
      <c r="B93" s="2" t="s">
        <v>18</v>
      </c>
      <c r="C93" s="2" t="s">
        <v>386</v>
      </c>
      <c r="D93" s="2" t="s">
        <v>387</v>
      </c>
      <c r="E93" s="2" t="n">
        <v>2026</v>
      </c>
      <c r="F93" s="2" t="s">
        <v>388</v>
      </c>
      <c r="G93" s="2" t="s">
        <v>22</v>
      </c>
      <c r="H93" s="2" t="s">
        <v>389</v>
      </c>
      <c r="I93" s="2" t="s">
        <v>24</v>
      </c>
      <c r="J93" s="2"/>
      <c r="K93" s="2" t="s">
        <v>24</v>
      </c>
      <c r="L93" s="2"/>
      <c r="M93" s="2" t="s">
        <v>24</v>
      </c>
      <c r="N93" s="2" t="s">
        <v>158</v>
      </c>
      <c r="O93" s="2" t="s">
        <v>159</v>
      </c>
      <c r="P93" s="2"/>
      <c r="Q93" s="3"/>
      <c r="R93" s="3"/>
    </row>
    <row r="94" customFormat="false" ht="79.85" hidden="false" customHeight="false" outlineLevel="0" collapsed="false">
      <c r="A94" s="2" t="n">
        <v>93</v>
      </c>
      <c r="B94" s="2" t="s">
        <v>18</v>
      </c>
      <c r="C94" s="2" t="s">
        <v>390</v>
      </c>
      <c r="D94" s="2" t="s">
        <v>391</v>
      </c>
      <c r="E94" s="2" t="n">
        <v>2026</v>
      </c>
      <c r="F94" s="2" t="s">
        <v>392</v>
      </c>
      <c r="G94" s="2" t="s">
        <v>22</v>
      </c>
      <c r="H94" s="2" t="s">
        <v>393</v>
      </c>
      <c r="I94" s="2" t="s">
        <v>24</v>
      </c>
      <c r="J94" s="2"/>
      <c r="K94" s="2" t="s">
        <v>24</v>
      </c>
      <c r="L94" s="2"/>
      <c r="M94" s="2"/>
      <c r="N94" s="2" t="s">
        <v>35</v>
      </c>
      <c r="O94" s="2" t="s">
        <v>36</v>
      </c>
      <c r="P94" s="2"/>
      <c r="Q94" s="3"/>
      <c r="R94" s="3"/>
    </row>
    <row r="95" customFormat="false" ht="46.25" hidden="false" customHeight="false" outlineLevel="0" collapsed="false">
      <c r="A95" s="2" t="n">
        <v>94</v>
      </c>
      <c r="B95" s="2" t="s">
        <v>18</v>
      </c>
      <c r="C95" s="2" t="s">
        <v>394</v>
      </c>
      <c r="D95" s="2" t="s">
        <v>395</v>
      </c>
      <c r="E95" s="2" t="n">
        <v>2024</v>
      </c>
      <c r="F95" s="2" t="s">
        <v>396</v>
      </c>
      <c r="G95" s="2" t="s">
        <v>22</v>
      </c>
      <c r="H95" s="2" t="s">
        <v>397</v>
      </c>
      <c r="I95" s="2"/>
      <c r="J95" s="2"/>
      <c r="K95" s="2" t="s">
        <v>24</v>
      </c>
      <c r="L95" s="2"/>
      <c r="M95" s="2"/>
      <c r="N95" s="2" t="s">
        <v>128</v>
      </c>
      <c r="O95" s="2" t="s">
        <v>129</v>
      </c>
      <c r="P95" s="2"/>
      <c r="Q95" s="3"/>
      <c r="R95" s="3"/>
    </row>
    <row r="96" customFormat="false" ht="23.85" hidden="false" customHeight="false" outlineLevel="0" collapsed="false">
      <c r="A96" s="2" t="n">
        <v>95</v>
      </c>
      <c r="B96" s="2" t="s">
        <v>18</v>
      </c>
      <c r="C96" s="2" t="s">
        <v>398</v>
      </c>
      <c r="D96" s="2" t="s">
        <v>399</v>
      </c>
      <c r="E96" s="2" t="n">
        <v>2026</v>
      </c>
      <c r="F96" s="2" t="s">
        <v>52</v>
      </c>
      <c r="G96" s="2" t="s">
        <v>48</v>
      </c>
      <c r="H96" s="2" t="s">
        <v>400</v>
      </c>
      <c r="I96" s="2" t="s">
        <v>24</v>
      </c>
      <c r="J96" s="2"/>
      <c r="K96" s="2" t="s">
        <v>24</v>
      </c>
      <c r="L96" s="2"/>
      <c r="M96" s="2" t="s">
        <v>24</v>
      </c>
      <c r="N96" s="2" t="s">
        <v>35</v>
      </c>
      <c r="O96" s="2" t="s">
        <v>36</v>
      </c>
      <c r="P96" s="2"/>
      <c r="Q96" s="3"/>
      <c r="R96" s="3"/>
    </row>
    <row r="97" customFormat="false" ht="23.85" hidden="false" customHeight="false" outlineLevel="0" collapsed="false">
      <c r="A97" s="2" t="n">
        <v>96</v>
      </c>
      <c r="B97" s="2" t="s">
        <v>18</v>
      </c>
      <c r="C97" s="2" t="s">
        <v>401</v>
      </c>
      <c r="D97" s="2" t="s">
        <v>402</v>
      </c>
      <c r="E97" s="2" t="n">
        <v>2026</v>
      </c>
      <c r="F97" s="2" t="s">
        <v>403</v>
      </c>
      <c r="G97" s="2" t="s">
        <v>48</v>
      </c>
      <c r="H97" s="2" t="s">
        <v>404</v>
      </c>
      <c r="I97" s="2" t="s">
        <v>24</v>
      </c>
      <c r="J97" s="2"/>
      <c r="K97" s="2" t="s">
        <v>24</v>
      </c>
      <c r="L97" s="2"/>
      <c r="M97" s="2" t="s">
        <v>24</v>
      </c>
      <c r="N97" s="2" t="s">
        <v>35</v>
      </c>
      <c r="O97" s="2" t="s">
        <v>36</v>
      </c>
      <c r="P97" s="2"/>
      <c r="Q97" s="3"/>
      <c r="R97" s="3"/>
    </row>
    <row r="98" customFormat="false" ht="23.85" hidden="false" customHeight="false" outlineLevel="0" collapsed="false">
      <c r="A98" s="2" t="n">
        <v>97</v>
      </c>
      <c r="B98" s="2" t="s">
        <v>18</v>
      </c>
      <c r="C98" s="2" t="s">
        <v>405</v>
      </c>
      <c r="D98" s="2" t="s">
        <v>406</v>
      </c>
      <c r="E98" s="2" t="n">
        <v>2026</v>
      </c>
      <c r="F98" s="2" t="s">
        <v>407</v>
      </c>
      <c r="G98" s="2" t="s">
        <v>48</v>
      </c>
      <c r="H98" s="2" t="s">
        <v>408</v>
      </c>
      <c r="I98" s="2" t="s">
        <v>24</v>
      </c>
      <c r="J98" s="2"/>
      <c r="K98" s="2" t="s">
        <v>24</v>
      </c>
      <c r="L98" s="2"/>
      <c r="M98" s="2"/>
      <c r="N98" s="2" t="s">
        <v>35</v>
      </c>
      <c r="O98" s="2" t="s">
        <v>36</v>
      </c>
      <c r="P98" s="2"/>
      <c r="Q98" s="3"/>
      <c r="R98" s="3"/>
    </row>
    <row r="99" customFormat="false" ht="35.05" hidden="false" customHeight="false" outlineLevel="0" collapsed="false">
      <c r="A99" s="2" t="n">
        <v>98</v>
      </c>
      <c r="B99" s="2" t="s">
        <v>18</v>
      </c>
      <c r="C99" s="2" t="s">
        <v>409</v>
      </c>
      <c r="D99" s="2" t="s">
        <v>410</v>
      </c>
      <c r="E99" s="2" t="n">
        <v>2026</v>
      </c>
      <c r="F99" s="2" t="s">
        <v>411</v>
      </c>
      <c r="G99" s="2" t="s">
        <v>22</v>
      </c>
      <c r="H99" s="2" t="s">
        <v>412</v>
      </c>
      <c r="I99" s="2" t="s">
        <v>24</v>
      </c>
      <c r="J99" s="2"/>
      <c r="K99" s="2" t="s">
        <v>24</v>
      </c>
      <c r="L99" s="2"/>
      <c r="M99" s="2" t="s">
        <v>24</v>
      </c>
      <c r="N99" s="2" t="s">
        <v>25</v>
      </c>
      <c r="O99" s="2" t="s">
        <v>26</v>
      </c>
      <c r="P99" s="2"/>
      <c r="Q99" s="3"/>
      <c r="R99" s="3"/>
    </row>
    <row r="100" customFormat="false" ht="46.25" hidden="false" customHeight="false" outlineLevel="0" collapsed="false">
      <c r="A100" s="2" t="n">
        <v>99</v>
      </c>
      <c r="B100" s="2" t="s">
        <v>18</v>
      </c>
      <c r="C100" s="2" t="s">
        <v>413</v>
      </c>
      <c r="D100" s="2" t="s">
        <v>414</v>
      </c>
      <c r="E100" s="2" t="n">
        <v>2026</v>
      </c>
      <c r="F100" s="2" t="s">
        <v>415</v>
      </c>
      <c r="G100" s="2" t="s">
        <v>22</v>
      </c>
      <c r="H100" s="2" t="s">
        <v>416</v>
      </c>
      <c r="I100" s="2" t="s">
        <v>24</v>
      </c>
      <c r="J100" s="2"/>
      <c r="K100" s="2" t="s">
        <v>24</v>
      </c>
      <c r="L100" s="2"/>
      <c r="M100" s="2" t="s">
        <v>24</v>
      </c>
      <c r="N100" s="2" t="s">
        <v>35</v>
      </c>
      <c r="O100" s="2" t="s">
        <v>36</v>
      </c>
      <c r="P100" s="2"/>
      <c r="Q100" s="3"/>
      <c r="R100" s="3"/>
    </row>
    <row r="101" customFormat="false" ht="23.85" hidden="false" customHeight="false" outlineLevel="0" collapsed="false">
      <c r="A101" s="2" t="n">
        <v>100</v>
      </c>
      <c r="B101" s="2" t="s">
        <v>18</v>
      </c>
      <c r="C101" s="2" t="s">
        <v>417</v>
      </c>
      <c r="D101" s="2" t="s">
        <v>418</v>
      </c>
      <c r="E101" s="2" t="n">
        <v>2026</v>
      </c>
      <c r="F101" s="2" t="s">
        <v>419</v>
      </c>
      <c r="G101" s="2" t="s">
        <v>48</v>
      </c>
      <c r="H101" s="2" t="s">
        <v>420</v>
      </c>
      <c r="I101" s="2" t="s">
        <v>24</v>
      </c>
      <c r="J101" s="2"/>
      <c r="K101" s="2" t="s">
        <v>24</v>
      </c>
      <c r="L101" s="2"/>
      <c r="M101" s="2" t="s">
        <v>24</v>
      </c>
      <c r="N101" s="2" t="s">
        <v>35</v>
      </c>
      <c r="O101" s="2" t="s">
        <v>36</v>
      </c>
      <c r="P101" s="2"/>
      <c r="Q101" s="3"/>
      <c r="R101" s="3"/>
    </row>
    <row r="102" customFormat="false" ht="35.05" hidden="false" customHeight="false" outlineLevel="0" collapsed="false">
      <c r="A102" s="2" t="n">
        <v>101</v>
      </c>
      <c r="B102" s="2" t="s">
        <v>18</v>
      </c>
      <c r="C102" s="2" t="s">
        <v>421</v>
      </c>
      <c r="D102" s="2" t="s">
        <v>422</v>
      </c>
      <c r="E102" s="2" t="n">
        <v>2024</v>
      </c>
      <c r="F102" s="2" t="s">
        <v>47</v>
      </c>
      <c r="G102" s="2" t="s">
        <v>48</v>
      </c>
      <c r="H102" s="2" t="s">
        <v>423</v>
      </c>
      <c r="I102" s="2" t="s">
        <v>24</v>
      </c>
      <c r="J102" s="2"/>
      <c r="K102" s="2" t="s">
        <v>24</v>
      </c>
      <c r="L102" s="2"/>
      <c r="M102" s="2"/>
      <c r="N102" s="2" t="s">
        <v>35</v>
      </c>
      <c r="O102" s="2" t="s">
        <v>36</v>
      </c>
      <c r="P102" s="2"/>
      <c r="Q102" s="3"/>
      <c r="R102" s="3"/>
    </row>
    <row r="103" customFormat="false" ht="68.65" hidden="false" customHeight="false" outlineLevel="0" collapsed="false">
      <c r="A103" s="2" t="n">
        <v>102</v>
      </c>
      <c r="B103" s="2" t="s">
        <v>18</v>
      </c>
      <c r="C103" s="2" t="s">
        <v>424</v>
      </c>
      <c r="D103" s="2" t="s">
        <v>425</v>
      </c>
      <c r="E103" s="2" t="n">
        <v>2025</v>
      </c>
      <c r="F103" s="2" t="s">
        <v>426</v>
      </c>
      <c r="G103" s="2" t="s">
        <v>22</v>
      </c>
      <c r="H103" s="2" t="s">
        <v>427</v>
      </c>
      <c r="I103" s="2" t="s">
        <v>24</v>
      </c>
      <c r="J103" s="2"/>
      <c r="K103" s="2" t="s">
        <v>24</v>
      </c>
      <c r="L103" s="2"/>
      <c r="M103" s="2"/>
      <c r="N103" s="2" t="s">
        <v>25</v>
      </c>
      <c r="O103" s="2" t="s">
        <v>26</v>
      </c>
      <c r="P103" s="2"/>
      <c r="Q103" s="3"/>
      <c r="R103" s="3"/>
    </row>
    <row r="104" customFormat="false" ht="46.25" hidden="false" customHeight="false" outlineLevel="0" collapsed="false">
      <c r="A104" s="2" t="n">
        <v>103</v>
      </c>
      <c r="B104" s="2" t="s">
        <v>18</v>
      </c>
      <c r="C104" s="2" t="s">
        <v>428</v>
      </c>
      <c r="D104" s="2" t="s">
        <v>429</v>
      </c>
      <c r="E104" s="2" t="n">
        <v>2026</v>
      </c>
      <c r="F104" s="2" t="s">
        <v>430</v>
      </c>
      <c r="G104" s="2" t="s">
        <v>22</v>
      </c>
      <c r="H104" s="2" t="s">
        <v>431</v>
      </c>
      <c r="I104" s="2" t="s">
        <v>24</v>
      </c>
      <c r="J104" s="2"/>
      <c r="K104" s="2" t="s">
        <v>24</v>
      </c>
      <c r="L104" s="2"/>
      <c r="M104" s="2" t="s">
        <v>24</v>
      </c>
      <c r="N104" s="2" t="s">
        <v>25</v>
      </c>
      <c r="O104" s="2" t="s">
        <v>26</v>
      </c>
      <c r="P104" s="2"/>
      <c r="Q104" s="3"/>
      <c r="R104" s="3"/>
    </row>
    <row r="105" customFormat="false" ht="46.25" hidden="false" customHeight="false" outlineLevel="0" collapsed="false">
      <c r="A105" s="2" t="n">
        <v>104</v>
      </c>
      <c r="B105" s="2" t="s">
        <v>18</v>
      </c>
      <c r="C105" s="2" t="s">
        <v>432</v>
      </c>
      <c r="D105" s="2" t="s">
        <v>433</v>
      </c>
      <c r="E105" s="2" t="n">
        <v>2025</v>
      </c>
      <c r="F105" s="2" t="s">
        <v>434</v>
      </c>
      <c r="G105" s="2" t="s">
        <v>22</v>
      </c>
      <c r="H105" s="2" t="s">
        <v>435</v>
      </c>
      <c r="I105" s="2" t="s">
        <v>24</v>
      </c>
      <c r="J105" s="2"/>
      <c r="K105" s="2" t="s">
        <v>24</v>
      </c>
      <c r="L105" s="2"/>
      <c r="M105" s="2" t="s">
        <v>24</v>
      </c>
      <c r="N105" s="2" t="s">
        <v>35</v>
      </c>
      <c r="O105" s="2" t="s">
        <v>36</v>
      </c>
      <c r="P105" s="2"/>
      <c r="Q105" s="3"/>
      <c r="R105" s="3"/>
    </row>
    <row r="106" customFormat="false" ht="35.05" hidden="false" customHeight="false" outlineLevel="0" collapsed="false">
      <c r="A106" s="2" t="n">
        <v>105</v>
      </c>
      <c r="B106" s="2" t="s">
        <v>18</v>
      </c>
      <c r="C106" s="2" t="s">
        <v>436</v>
      </c>
      <c r="D106" s="2" t="s">
        <v>437</v>
      </c>
      <c r="E106" s="2" t="n">
        <v>2025</v>
      </c>
      <c r="F106" s="2" t="s">
        <v>438</v>
      </c>
      <c r="G106" s="2" t="s">
        <v>22</v>
      </c>
      <c r="H106" s="2" t="s">
        <v>439</v>
      </c>
      <c r="I106" s="2" t="s">
        <v>24</v>
      </c>
      <c r="J106" s="2"/>
      <c r="K106" s="2" t="s">
        <v>24</v>
      </c>
      <c r="L106" s="2"/>
      <c r="M106" s="2" t="s">
        <v>24</v>
      </c>
      <c r="N106" s="2" t="s">
        <v>25</v>
      </c>
      <c r="O106" s="2" t="s">
        <v>26</v>
      </c>
      <c r="P106" s="2"/>
      <c r="Q106" s="3"/>
      <c r="R106" s="3"/>
    </row>
    <row r="107" customFormat="false" ht="46.25" hidden="false" customHeight="false" outlineLevel="0" collapsed="false">
      <c r="A107" s="2" t="n">
        <v>106</v>
      </c>
      <c r="B107" s="2" t="s">
        <v>18</v>
      </c>
      <c r="C107" s="2" t="s">
        <v>440</v>
      </c>
      <c r="D107" s="2" t="s">
        <v>441</v>
      </c>
      <c r="E107" s="2" t="n">
        <v>2026</v>
      </c>
      <c r="F107" s="2" t="s">
        <v>260</v>
      </c>
      <c r="G107" s="2" t="s">
        <v>22</v>
      </c>
      <c r="H107" s="2" t="s">
        <v>442</v>
      </c>
      <c r="I107" s="2" t="s">
        <v>24</v>
      </c>
      <c r="J107" s="2"/>
      <c r="K107" s="2" t="s">
        <v>24</v>
      </c>
      <c r="L107" s="2"/>
      <c r="M107" s="2" t="s">
        <v>24</v>
      </c>
      <c r="N107" s="2" t="s">
        <v>25</v>
      </c>
      <c r="O107" s="2" t="s">
        <v>26</v>
      </c>
      <c r="P107" s="2"/>
      <c r="Q107" s="3"/>
      <c r="R107" s="3"/>
    </row>
    <row r="108" customFormat="false" ht="57.45" hidden="false" customHeight="false" outlineLevel="0" collapsed="false">
      <c r="A108" s="2" t="n">
        <v>107</v>
      </c>
      <c r="B108" s="2" t="s">
        <v>18</v>
      </c>
      <c r="C108" s="2" t="s">
        <v>443</v>
      </c>
      <c r="D108" s="2" t="s">
        <v>444</v>
      </c>
      <c r="E108" s="2" t="n">
        <v>2026</v>
      </c>
      <c r="F108" s="2" t="s">
        <v>445</v>
      </c>
      <c r="G108" s="2" t="s">
        <v>22</v>
      </c>
      <c r="H108" s="2" t="s">
        <v>446</v>
      </c>
      <c r="I108" s="2" t="s">
        <v>24</v>
      </c>
      <c r="J108" s="2"/>
      <c r="K108" s="2" t="s">
        <v>24</v>
      </c>
      <c r="L108" s="2"/>
      <c r="M108" s="2" t="s">
        <v>24</v>
      </c>
      <c r="N108" s="2" t="s">
        <v>35</v>
      </c>
      <c r="O108" s="2" t="s">
        <v>36</v>
      </c>
      <c r="P108" s="2"/>
      <c r="Q108" s="3"/>
      <c r="R108" s="3"/>
    </row>
    <row r="109" customFormat="false" ht="23.85" hidden="false" customHeight="false" outlineLevel="0" collapsed="false">
      <c r="A109" s="2" t="n">
        <v>108</v>
      </c>
      <c r="B109" s="2" t="s">
        <v>18</v>
      </c>
      <c r="C109" s="2" t="s">
        <v>447</v>
      </c>
      <c r="D109" s="2" t="s">
        <v>448</v>
      </c>
      <c r="E109" s="2" t="n">
        <v>2025</v>
      </c>
      <c r="F109" s="2" t="s">
        <v>449</v>
      </c>
      <c r="G109" s="2" t="s">
        <v>48</v>
      </c>
      <c r="H109" s="2" t="s">
        <v>450</v>
      </c>
      <c r="I109" s="2" t="s">
        <v>24</v>
      </c>
      <c r="J109" s="2" t="s">
        <v>24</v>
      </c>
      <c r="K109" s="2" t="s">
        <v>24</v>
      </c>
      <c r="L109" s="2"/>
      <c r="M109" s="2" t="s">
        <v>24</v>
      </c>
      <c r="N109" s="2" t="s">
        <v>35</v>
      </c>
      <c r="O109" s="2" t="s">
        <v>36</v>
      </c>
      <c r="P109" s="2"/>
      <c r="Q109" s="3"/>
      <c r="R109" s="3"/>
    </row>
    <row r="110" customFormat="false" ht="46.25" hidden="false" customHeight="false" outlineLevel="0" collapsed="false">
      <c r="A110" s="2" t="n">
        <v>109</v>
      </c>
      <c r="B110" s="2" t="s">
        <v>18</v>
      </c>
      <c r="C110" s="2" t="s">
        <v>451</v>
      </c>
      <c r="D110" s="2" t="s">
        <v>452</v>
      </c>
      <c r="E110" s="2" t="n">
        <v>2026</v>
      </c>
      <c r="F110" s="2" t="s">
        <v>453</v>
      </c>
      <c r="G110" s="2" t="s">
        <v>22</v>
      </c>
      <c r="H110" s="2" t="s">
        <v>454</v>
      </c>
      <c r="I110" s="2" t="s">
        <v>24</v>
      </c>
      <c r="J110" s="2"/>
      <c r="K110" s="2" t="s">
        <v>24</v>
      </c>
      <c r="L110" s="2"/>
      <c r="M110" s="2"/>
      <c r="N110" s="2" t="s">
        <v>25</v>
      </c>
      <c r="O110" s="2" t="s">
        <v>26</v>
      </c>
      <c r="P110" s="2"/>
      <c r="Q110" s="3"/>
      <c r="R110" s="3"/>
    </row>
    <row r="111" customFormat="false" ht="46.25" hidden="false" customHeight="false" outlineLevel="0" collapsed="false">
      <c r="A111" s="2" t="n">
        <v>110</v>
      </c>
      <c r="B111" s="2" t="s">
        <v>18</v>
      </c>
      <c r="C111" s="2" t="s">
        <v>455</v>
      </c>
      <c r="D111" s="2" t="s">
        <v>456</v>
      </c>
      <c r="E111" s="2" t="n">
        <v>2025</v>
      </c>
      <c r="F111" s="2" t="s">
        <v>457</v>
      </c>
      <c r="G111" s="2" t="s">
        <v>22</v>
      </c>
      <c r="H111" s="2" t="s">
        <v>458</v>
      </c>
      <c r="I111" s="2"/>
      <c r="J111" s="2"/>
      <c r="K111" s="2" t="s">
        <v>24</v>
      </c>
      <c r="L111" s="2"/>
      <c r="M111" s="2" t="s">
        <v>24</v>
      </c>
      <c r="N111" s="2" t="s">
        <v>128</v>
      </c>
      <c r="O111" s="2" t="s">
        <v>129</v>
      </c>
      <c r="P111" s="2"/>
      <c r="Q111" s="3"/>
      <c r="R111" s="3"/>
    </row>
    <row r="112" customFormat="false" ht="23.85" hidden="false" customHeight="false" outlineLevel="0" collapsed="false">
      <c r="A112" s="2" t="n">
        <v>111</v>
      </c>
      <c r="B112" s="2" t="s">
        <v>18</v>
      </c>
      <c r="C112" s="2" t="s">
        <v>459</v>
      </c>
      <c r="D112" s="2" t="s">
        <v>460</v>
      </c>
      <c r="E112" s="2" t="n">
        <v>2026</v>
      </c>
      <c r="F112" s="2" t="s">
        <v>461</v>
      </c>
      <c r="G112" s="2" t="s">
        <v>48</v>
      </c>
      <c r="H112" s="2" t="s">
        <v>462</v>
      </c>
      <c r="I112" s="2" t="s">
        <v>24</v>
      </c>
      <c r="J112" s="2"/>
      <c r="K112" s="2" t="s">
        <v>24</v>
      </c>
      <c r="L112" s="2"/>
      <c r="M112" s="2" t="s">
        <v>24</v>
      </c>
      <c r="N112" s="2" t="s">
        <v>35</v>
      </c>
      <c r="O112" s="2" t="s">
        <v>36</v>
      </c>
      <c r="P112" s="2"/>
      <c r="Q112" s="3"/>
      <c r="R112" s="3"/>
    </row>
    <row r="113" customFormat="false" ht="46.25" hidden="false" customHeight="false" outlineLevel="0" collapsed="false">
      <c r="A113" s="2" t="n">
        <v>112</v>
      </c>
      <c r="B113" s="2" t="s">
        <v>18</v>
      </c>
      <c r="C113" s="2" t="s">
        <v>463</v>
      </c>
      <c r="D113" s="2" t="s">
        <v>464</v>
      </c>
      <c r="E113" s="2" t="n">
        <v>2026</v>
      </c>
      <c r="F113" s="2" t="s">
        <v>260</v>
      </c>
      <c r="G113" s="2" t="s">
        <v>22</v>
      </c>
      <c r="H113" s="2" t="s">
        <v>465</v>
      </c>
      <c r="I113" s="2" t="s">
        <v>24</v>
      </c>
      <c r="J113" s="2"/>
      <c r="K113" s="2" t="s">
        <v>24</v>
      </c>
      <c r="L113" s="2"/>
      <c r="M113" s="2" t="s">
        <v>24</v>
      </c>
      <c r="N113" s="2" t="s">
        <v>35</v>
      </c>
      <c r="O113" s="2" t="s">
        <v>36</v>
      </c>
      <c r="P113" s="2"/>
      <c r="Q113" s="3"/>
      <c r="R113" s="3"/>
    </row>
    <row r="114" customFormat="false" ht="23.85" hidden="false" customHeight="false" outlineLevel="0" collapsed="false">
      <c r="A114" s="2" t="n">
        <v>113</v>
      </c>
      <c r="B114" s="2" t="s">
        <v>18</v>
      </c>
      <c r="C114" s="2" t="s">
        <v>466</v>
      </c>
      <c r="D114" s="2" t="s">
        <v>467</v>
      </c>
      <c r="E114" s="2" t="n">
        <v>2025</v>
      </c>
      <c r="F114" s="2" t="s">
        <v>468</v>
      </c>
      <c r="G114" s="2" t="s">
        <v>48</v>
      </c>
      <c r="H114" s="2" t="s">
        <v>469</v>
      </c>
      <c r="I114" s="2" t="s">
        <v>24</v>
      </c>
      <c r="J114" s="2"/>
      <c r="K114" s="2" t="s">
        <v>24</v>
      </c>
      <c r="L114" s="2"/>
      <c r="M114" s="2" t="s">
        <v>24</v>
      </c>
      <c r="N114" s="2" t="s">
        <v>35</v>
      </c>
      <c r="O114" s="2" t="s">
        <v>36</v>
      </c>
      <c r="P114" s="2"/>
      <c r="Q114" s="3"/>
      <c r="R114" s="3"/>
    </row>
    <row r="115" customFormat="false" ht="23.85" hidden="false" customHeight="false" outlineLevel="0" collapsed="false">
      <c r="A115" s="2" t="n">
        <v>114</v>
      </c>
      <c r="B115" s="2" t="s">
        <v>18</v>
      </c>
      <c r="C115" s="2" t="s">
        <v>470</v>
      </c>
      <c r="D115" s="2" t="s">
        <v>471</v>
      </c>
      <c r="E115" s="2" t="n">
        <v>2025</v>
      </c>
      <c r="F115" s="2" t="s">
        <v>47</v>
      </c>
      <c r="G115" s="2" t="s">
        <v>48</v>
      </c>
      <c r="H115" s="2" t="s">
        <v>472</v>
      </c>
      <c r="I115" s="2" t="s">
        <v>24</v>
      </c>
      <c r="J115" s="2"/>
      <c r="K115" s="2" t="s">
        <v>24</v>
      </c>
      <c r="L115" s="2"/>
      <c r="M115" s="2" t="s">
        <v>24</v>
      </c>
      <c r="N115" s="2" t="s">
        <v>35</v>
      </c>
      <c r="O115" s="2" t="s">
        <v>36</v>
      </c>
      <c r="P115" s="2"/>
      <c r="Q115" s="3"/>
      <c r="R115" s="3"/>
    </row>
    <row r="116" customFormat="false" ht="57.45" hidden="false" customHeight="false" outlineLevel="0" collapsed="false">
      <c r="A116" s="2" t="n">
        <v>115</v>
      </c>
      <c r="B116" s="2" t="s">
        <v>18</v>
      </c>
      <c r="C116" s="2" t="s">
        <v>473</v>
      </c>
      <c r="D116" s="2" t="s">
        <v>474</v>
      </c>
      <c r="E116" s="2" t="n">
        <v>2026</v>
      </c>
      <c r="F116" s="2" t="s">
        <v>475</v>
      </c>
      <c r="G116" s="2" t="s">
        <v>22</v>
      </c>
      <c r="H116" s="2" t="s">
        <v>476</v>
      </c>
      <c r="I116" s="2" t="s">
        <v>24</v>
      </c>
      <c r="J116" s="2" t="s">
        <v>24</v>
      </c>
      <c r="K116" s="2" t="s">
        <v>24</v>
      </c>
      <c r="L116" s="2"/>
      <c r="M116" s="2"/>
      <c r="N116" s="2" t="s">
        <v>35</v>
      </c>
      <c r="O116" s="2" t="s">
        <v>36</v>
      </c>
      <c r="P116" s="2"/>
      <c r="Q116" s="3"/>
      <c r="R116" s="3"/>
    </row>
    <row r="117" customFormat="false" ht="46.25" hidden="false" customHeight="false" outlineLevel="0" collapsed="false">
      <c r="A117" s="2" t="n">
        <v>116</v>
      </c>
      <c r="B117" s="2" t="s">
        <v>18</v>
      </c>
      <c r="C117" s="2" t="s">
        <v>477</v>
      </c>
      <c r="D117" s="2" t="s">
        <v>340</v>
      </c>
      <c r="E117" s="2" t="n">
        <v>2026</v>
      </c>
      <c r="F117" s="2" t="s">
        <v>478</v>
      </c>
      <c r="G117" s="2" t="s">
        <v>22</v>
      </c>
      <c r="H117" s="2" t="s">
        <v>479</v>
      </c>
      <c r="I117" s="2" t="s">
        <v>24</v>
      </c>
      <c r="J117" s="2"/>
      <c r="K117" s="2" t="s">
        <v>24</v>
      </c>
      <c r="L117" s="2"/>
      <c r="M117" s="2" t="s">
        <v>24</v>
      </c>
      <c r="N117" s="2" t="s">
        <v>35</v>
      </c>
      <c r="O117" s="2" t="s">
        <v>36</v>
      </c>
      <c r="P117" s="2"/>
      <c r="Q117" s="3"/>
      <c r="R117" s="3"/>
    </row>
    <row r="118" customFormat="false" ht="46.25" hidden="false" customHeight="false" outlineLevel="0" collapsed="false">
      <c r="A118" s="2" t="n">
        <v>117</v>
      </c>
      <c r="B118" s="2" t="s">
        <v>18</v>
      </c>
      <c r="C118" s="2" t="s">
        <v>480</v>
      </c>
      <c r="D118" s="2" t="s">
        <v>481</v>
      </c>
      <c r="E118" s="2" t="n">
        <v>2024</v>
      </c>
      <c r="F118" s="2" t="s">
        <v>482</v>
      </c>
      <c r="G118" s="2" t="s">
        <v>22</v>
      </c>
      <c r="H118" s="2" t="s">
        <v>483</v>
      </c>
      <c r="I118" s="2" t="s">
        <v>24</v>
      </c>
      <c r="J118" s="2"/>
      <c r="K118" s="2" t="s">
        <v>24</v>
      </c>
      <c r="L118" s="2"/>
      <c r="M118" s="2"/>
      <c r="N118" s="2" t="s">
        <v>35</v>
      </c>
      <c r="O118" s="2" t="s">
        <v>36</v>
      </c>
      <c r="P118" s="2"/>
      <c r="Q118" s="3"/>
      <c r="R118" s="3"/>
    </row>
    <row r="119" customFormat="false" ht="35.05" hidden="false" customHeight="false" outlineLevel="0" collapsed="false">
      <c r="A119" s="2" t="n">
        <v>118</v>
      </c>
      <c r="B119" s="2" t="s">
        <v>18</v>
      </c>
      <c r="C119" s="2" t="s">
        <v>484</v>
      </c>
      <c r="D119" s="2" t="s">
        <v>485</v>
      </c>
      <c r="E119" s="2" t="n">
        <v>2026</v>
      </c>
      <c r="F119" s="2" t="s">
        <v>486</v>
      </c>
      <c r="G119" s="2" t="s">
        <v>22</v>
      </c>
      <c r="H119" s="2"/>
      <c r="I119" s="2" t="s">
        <v>24</v>
      </c>
      <c r="J119" s="2"/>
      <c r="K119" s="2" t="s">
        <v>24</v>
      </c>
      <c r="L119" s="2"/>
      <c r="M119" s="2" t="s">
        <v>24</v>
      </c>
      <c r="N119" s="2" t="s">
        <v>35</v>
      </c>
      <c r="O119" s="2" t="s">
        <v>36</v>
      </c>
      <c r="P119" s="2"/>
      <c r="Q119" s="3"/>
      <c r="R119" s="3"/>
    </row>
    <row r="120" customFormat="false" ht="46.25" hidden="false" customHeight="false" outlineLevel="0" collapsed="false">
      <c r="A120" s="2" t="n">
        <v>119</v>
      </c>
      <c r="B120" s="2" t="s">
        <v>18</v>
      </c>
      <c r="C120" s="2" t="s">
        <v>487</v>
      </c>
      <c r="D120" s="2" t="s">
        <v>488</v>
      </c>
      <c r="E120" s="2" t="n">
        <v>2026</v>
      </c>
      <c r="F120" s="2" t="s">
        <v>489</v>
      </c>
      <c r="G120" s="2" t="s">
        <v>22</v>
      </c>
      <c r="H120" s="2" t="s">
        <v>490</v>
      </c>
      <c r="I120" s="2" t="s">
        <v>24</v>
      </c>
      <c r="J120" s="2"/>
      <c r="K120" s="2" t="s">
        <v>24</v>
      </c>
      <c r="L120" s="2"/>
      <c r="M120" s="2" t="s">
        <v>24</v>
      </c>
      <c r="N120" s="2" t="s">
        <v>25</v>
      </c>
      <c r="O120" s="2" t="s">
        <v>26</v>
      </c>
      <c r="P120" s="2"/>
      <c r="Q120" s="3"/>
      <c r="R120" s="3"/>
    </row>
    <row r="121" customFormat="false" ht="46.25" hidden="false" customHeight="false" outlineLevel="0" collapsed="false">
      <c r="A121" s="2" t="n">
        <v>120</v>
      </c>
      <c r="B121" s="2" t="s">
        <v>18</v>
      </c>
      <c r="C121" s="2" t="s">
        <v>491</v>
      </c>
      <c r="D121" s="2" t="s">
        <v>492</v>
      </c>
      <c r="E121" s="2" t="n">
        <v>2025</v>
      </c>
      <c r="F121" s="2" t="s">
        <v>333</v>
      </c>
      <c r="G121" s="2" t="s">
        <v>22</v>
      </c>
      <c r="H121" s="2" t="s">
        <v>493</v>
      </c>
      <c r="I121" s="2" t="s">
        <v>24</v>
      </c>
      <c r="J121" s="2"/>
      <c r="K121" s="2" t="s">
        <v>24</v>
      </c>
      <c r="L121" s="2"/>
      <c r="M121" s="2" t="s">
        <v>24</v>
      </c>
      <c r="N121" s="2" t="s">
        <v>35</v>
      </c>
      <c r="O121" s="2" t="s">
        <v>36</v>
      </c>
      <c r="P121" s="2"/>
      <c r="Q121" s="3"/>
      <c r="R121" s="3"/>
    </row>
    <row r="122" customFormat="false" ht="57.45" hidden="false" customHeight="false" outlineLevel="0" collapsed="false">
      <c r="A122" s="2" t="n">
        <v>121</v>
      </c>
      <c r="B122" s="2" t="s">
        <v>18</v>
      </c>
      <c r="C122" s="2" t="s">
        <v>494</v>
      </c>
      <c r="D122" s="2" t="s">
        <v>495</v>
      </c>
      <c r="E122" s="2" t="n">
        <v>2025</v>
      </c>
      <c r="F122" s="2" t="s">
        <v>496</v>
      </c>
      <c r="G122" s="2" t="s">
        <v>22</v>
      </c>
      <c r="H122" s="2" t="s">
        <v>497</v>
      </c>
      <c r="I122" s="2" t="s">
        <v>24</v>
      </c>
      <c r="J122" s="2"/>
      <c r="K122" s="2" t="s">
        <v>24</v>
      </c>
      <c r="L122" s="2"/>
      <c r="M122" s="2" t="s">
        <v>24</v>
      </c>
      <c r="N122" s="2" t="s">
        <v>35</v>
      </c>
      <c r="O122" s="2" t="s">
        <v>36</v>
      </c>
      <c r="P122" s="2"/>
      <c r="Q122" s="3"/>
      <c r="R122" s="3"/>
    </row>
    <row r="123" customFormat="false" ht="46.25" hidden="false" customHeight="false" outlineLevel="0" collapsed="false">
      <c r="A123" s="2" t="n">
        <v>122</v>
      </c>
      <c r="B123" s="2" t="s">
        <v>18</v>
      </c>
      <c r="C123" s="2" t="s">
        <v>498</v>
      </c>
      <c r="D123" s="2" t="s">
        <v>499</v>
      </c>
      <c r="E123" s="2" t="n">
        <v>2026</v>
      </c>
      <c r="F123" s="2" t="s">
        <v>500</v>
      </c>
      <c r="G123" s="2" t="s">
        <v>22</v>
      </c>
      <c r="H123" s="2" t="s">
        <v>501</v>
      </c>
      <c r="I123" s="2" t="s">
        <v>24</v>
      </c>
      <c r="J123" s="2"/>
      <c r="K123" s="2" t="s">
        <v>24</v>
      </c>
      <c r="L123" s="2"/>
      <c r="M123" s="2" t="s">
        <v>24</v>
      </c>
      <c r="N123" s="2" t="s">
        <v>35</v>
      </c>
      <c r="O123" s="2" t="s">
        <v>36</v>
      </c>
      <c r="P123" s="2"/>
      <c r="Q123" s="3"/>
      <c r="R123" s="3"/>
    </row>
    <row r="124" customFormat="false" ht="35.05" hidden="false" customHeight="false" outlineLevel="0" collapsed="false">
      <c r="A124" s="4" t="n">
        <v>123</v>
      </c>
      <c r="B124" s="4" t="s">
        <v>18</v>
      </c>
      <c r="C124" s="4" t="s">
        <v>502</v>
      </c>
      <c r="D124" s="4" t="s">
        <v>503</v>
      </c>
      <c r="E124" s="4" t="n">
        <v>2026</v>
      </c>
      <c r="F124" s="4" t="s">
        <v>504</v>
      </c>
      <c r="G124" s="4" t="s">
        <v>48</v>
      </c>
      <c r="H124" s="4" t="s">
        <v>505</v>
      </c>
      <c r="I124" s="4" t="s">
        <v>24</v>
      </c>
      <c r="J124" s="4"/>
      <c r="K124" s="4" t="s">
        <v>24</v>
      </c>
      <c r="L124" s="4"/>
      <c r="M124" s="4" t="s">
        <v>24</v>
      </c>
      <c r="N124" s="4" t="s">
        <v>35</v>
      </c>
      <c r="O124" s="4" t="s">
        <v>36</v>
      </c>
      <c r="P124" s="4" t="s">
        <v>107</v>
      </c>
      <c r="Q124" s="5"/>
      <c r="R124" s="5"/>
    </row>
    <row r="125" customFormat="false" ht="35.05" hidden="false" customHeight="false" outlineLevel="0" collapsed="false">
      <c r="A125" s="2" t="n">
        <v>124</v>
      </c>
      <c r="B125" s="2" t="s">
        <v>18</v>
      </c>
      <c r="C125" s="2" t="s">
        <v>506</v>
      </c>
      <c r="D125" s="2" t="s">
        <v>507</v>
      </c>
      <c r="E125" s="2" t="n">
        <v>2026</v>
      </c>
      <c r="F125" s="2" t="s">
        <v>85</v>
      </c>
      <c r="G125" s="2" t="s">
        <v>48</v>
      </c>
      <c r="H125" s="2" t="s">
        <v>508</v>
      </c>
      <c r="I125" s="2" t="s">
        <v>24</v>
      </c>
      <c r="J125" s="2"/>
      <c r="K125" s="2" t="s">
        <v>24</v>
      </c>
      <c r="L125" s="2"/>
      <c r="M125" s="2" t="s">
        <v>24</v>
      </c>
      <c r="N125" s="2" t="s">
        <v>35</v>
      </c>
      <c r="O125" s="2" t="s">
        <v>36</v>
      </c>
      <c r="P125" s="2"/>
      <c r="Q125" s="3"/>
      <c r="R125" s="3"/>
    </row>
    <row r="126" customFormat="false" ht="23.85" hidden="false" customHeight="false" outlineLevel="0" collapsed="false">
      <c r="A126" s="2" t="n">
        <v>125</v>
      </c>
      <c r="B126" s="2" t="s">
        <v>18</v>
      </c>
      <c r="C126" s="2" t="s">
        <v>509</v>
      </c>
      <c r="D126" s="2" t="s">
        <v>510</v>
      </c>
      <c r="E126" s="2" t="n">
        <v>2026</v>
      </c>
      <c r="F126" s="2" t="s">
        <v>85</v>
      </c>
      <c r="G126" s="2" t="s">
        <v>48</v>
      </c>
      <c r="H126" s="2" t="s">
        <v>511</v>
      </c>
      <c r="I126" s="2" t="s">
        <v>24</v>
      </c>
      <c r="J126" s="2"/>
      <c r="K126" s="2" t="s">
        <v>24</v>
      </c>
      <c r="L126" s="2"/>
      <c r="M126" s="2" t="s">
        <v>24</v>
      </c>
      <c r="N126" s="2" t="s">
        <v>35</v>
      </c>
      <c r="O126" s="2" t="s">
        <v>36</v>
      </c>
      <c r="P126" s="2"/>
      <c r="Q126" s="3"/>
      <c r="R126" s="3"/>
    </row>
    <row r="127" customFormat="false" ht="57.45" hidden="false" customHeight="false" outlineLevel="0" collapsed="false">
      <c r="A127" s="2" t="n">
        <v>126</v>
      </c>
      <c r="B127" s="2" t="s">
        <v>18</v>
      </c>
      <c r="C127" s="2" t="s">
        <v>512</v>
      </c>
      <c r="D127" s="2" t="s">
        <v>513</v>
      </c>
      <c r="E127" s="2" t="n">
        <v>2026</v>
      </c>
      <c r="F127" s="2" t="s">
        <v>514</v>
      </c>
      <c r="G127" s="2" t="s">
        <v>22</v>
      </c>
      <c r="H127" s="2" t="s">
        <v>515</v>
      </c>
      <c r="I127" s="2" t="s">
        <v>24</v>
      </c>
      <c r="J127" s="2"/>
      <c r="K127" s="2" t="s">
        <v>24</v>
      </c>
      <c r="L127" s="2"/>
      <c r="M127" s="2" t="s">
        <v>24</v>
      </c>
      <c r="N127" s="2" t="s">
        <v>35</v>
      </c>
      <c r="O127" s="2" t="s">
        <v>36</v>
      </c>
      <c r="P127" s="2"/>
      <c r="Q127" s="3"/>
      <c r="R127" s="3"/>
    </row>
    <row r="128" customFormat="false" ht="23.85" hidden="false" customHeight="false" outlineLevel="0" collapsed="false">
      <c r="A128" s="2" t="n">
        <v>127</v>
      </c>
      <c r="B128" s="2" t="s">
        <v>18</v>
      </c>
      <c r="C128" s="2" t="s">
        <v>516</v>
      </c>
      <c r="D128" s="2" t="s">
        <v>517</v>
      </c>
      <c r="E128" s="2" t="n">
        <v>2025</v>
      </c>
      <c r="F128" s="2" t="s">
        <v>518</v>
      </c>
      <c r="G128" s="2" t="s">
        <v>48</v>
      </c>
      <c r="H128" s="2" t="s">
        <v>519</v>
      </c>
      <c r="I128" s="2" t="s">
        <v>24</v>
      </c>
      <c r="J128" s="2"/>
      <c r="K128" s="2" t="s">
        <v>24</v>
      </c>
      <c r="L128" s="2"/>
      <c r="M128" s="2"/>
      <c r="N128" s="2" t="s">
        <v>35</v>
      </c>
      <c r="O128" s="2" t="s">
        <v>36</v>
      </c>
      <c r="P128" s="2"/>
      <c r="Q128" s="3"/>
      <c r="R128" s="3"/>
    </row>
    <row r="129" customFormat="false" ht="46.25" hidden="false" customHeight="false" outlineLevel="0" collapsed="false">
      <c r="A129" s="2" t="n">
        <v>128</v>
      </c>
      <c r="B129" s="2" t="s">
        <v>18</v>
      </c>
      <c r="C129" s="2" t="s">
        <v>520</v>
      </c>
      <c r="D129" s="2" t="s">
        <v>521</v>
      </c>
      <c r="E129" s="2" t="n">
        <v>2026</v>
      </c>
      <c r="F129" s="2" t="s">
        <v>522</v>
      </c>
      <c r="G129" s="2" t="s">
        <v>22</v>
      </c>
      <c r="H129" s="2" t="s">
        <v>523</v>
      </c>
      <c r="I129" s="2" t="s">
        <v>24</v>
      </c>
      <c r="J129" s="2"/>
      <c r="K129" s="2" t="s">
        <v>24</v>
      </c>
      <c r="L129" s="2"/>
      <c r="M129" s="2" t="s">
        <v>24</v>
      </c>
      <c r="N129" s="2" t="s">
        <v>158</v>
      </c>
      <c r="O129" s="2" t="s">
        <v>159</v>
      </c>
      <c r="P129" s="2"/>
      <c r="Q129" s="3"/>
      <c r="R129" s="3"/>
    </row>
    <row r="130" customFormat="false" ht="23.85" hidden="false" customHeight="false" outlineLevel="0" collapsed="false">
      <c r="A130" s="2" t="n">
        <v>129</v>
      </c>
      <c r="B130" s="2" t="s">
        <v>18</v>
      </c>
      <c r="C130" s="2" t="s">
        <v>524</v>
      </c>
      <c r="D130" s="2" t="s">
        <v>525</v>
      </c>
      <c r="E130" s="2" t="n">
        <v>2025</v>
      </c>
      <c r="F130" s="2" t="s">
        <v>526</v>
      </c>
      <c r="G130" s="2" t="s">
        <v>22</v>
      </c>
      <c r="H130" s="2" t="s">
        <v>527</v>
      </c>
      <c r="I130" s="2" t="s">
        <v>24</v>
      </c>
      <c r="J130" s="2"/>
      <c r="K130" s="2" t="s">
        <v>24</v>
      </c>
      <c r="L130" s="2"/>
      <c r="M130" s="2"/>
      <c r="N130" s="2" t="s">
        <v>35</v>
      </c>
      <c r="O130" s="2" t="s">
        <v>36</v>
      </c>
      <c r="P130" s="2"/>
      <c r="Q130" s="3"/>
      <c r="R130" s="3"/>
    </row>
    <row r="131" customFormat="false" ht="35.05" hidden="false" customHeight="false" outlineLevel="0" collapsed="false">
      <c r="A131" s="4" t="n">
        <v>130</v>
      </c>
      <c r="B131" s="4" t="s">
        <v>18</v>
      </c>
      <c r="C131" s="4" t="s">
        <v>528</v>
      </c>
      <c r="D131" s="4" t="s">
        <v>529</v>
      </c>
      <c r="E131" s="4" t="n">
        <v>2026</v>
      </c>
      <c r="F131" s="4" t="s">
        <v>530</v>
      </c>
      <c r="G131" s="4" t="s">
        <v>48</v>
      </c>
      <c r="H131" s="4" t="s">
        <v>531</v>
      </c>
      <c r="I131" s="4" t="s">
        <v>24</v>
      </c>
      <c r="J131" s="4" t="s">
        <v>24</v>
      </c>
      <c r="K131" s="4" t="s">
        <v>24</v>
      </c>
      <c r="L131" s="4"/>
      <c r="M131" s="4" t="s">
        <v>24</v>
      </c>
      <c r="N131" s="4" t="s">
        <v>35</v>
      </c>
      <c r="O131" s="4" t="s">
        <v>36</v>
      </c>
      <c r="P131" s="4" t="s">
        <v>107</v>
      </c>
      <c r="Q131" s="5"/>
      <c r="R131" s="5"/>
    </row>
    <row r="132" customFormat="false" ht="23.85" hidden="false" customHeight="false" outlineLevel="0" collapsed="false">
      <c r="A132" s="2" t="n">
        <v>131</v>
      </c>
      <c r="B132" s="2" t="s">
        <v>18</v>
      </c>
      <c r="C132" s="2" t="s">
        <v>532</v>
      </c>
      <c r="D132" s="2" t="s">
        <v>533</v>
      </c>
      <c r="E132" s="2" t="n">
        <v>2026</v>
      </c>
      <c r="F132" s="2" t="s">
        <v>186</v>
      </c>
      <c r="G132" s="2" t="s">
        <v>22</v>
      </c>
      <c r="H132" s="2" t="s">
        <v>534</v>
      </c>
      <c r="I132" s="2" t="s">
        <v>24</v>
      </c>
      <c r="J132" s="2"/>
      <c r="K132" s="2" t="s">
        <v>24</v>
      </c>
      <c r="L132" s="2"/>
      <c r="M132" s="2" t="s">
        <v>24</v>
      </c>
      <c r="N132" s="2" t="s">
        <v>122</v>
      </c>
      <c r="O132" s="2" t="s">
        <v>535</v>
      </c>
      <c r="P132" s="2"/>
      <c r="Q132" s="3"/>
      <c r="R132" s="3"/>
    </row>
    <row r="133" customFormat="false" ht="46.25" hidden="false" customHeight="false" outlineLevel="0" collapsed="false">
      <c r="A133" s="2" t="n">
        <v>132</v>
      </c>
      <c r="B133" s="2" t="s">
        <v>18</v>
      </c>
      <c r="C133" s="2" t="s">
        <v>536</v>
      </c>
      <c r="D133" s="2" t="s">
        <v>537</v>
      </c>
      <c r="E133" s="2" t="n">
        <v>2026</v>
      </c>
      <c r="F133" s="2" t="s">
        <v>182</v>
      </c>
      <c r="G133" s="2" t="s">
        <v>22</v>
      </c>
      <c r="H133" s="2" t="s">
        <v>538</v>
      </c>
      <c r="I133" s="2" t="s">
        <v>24</v>
      </c>
      <c r="J133" s="2"/>
      <c r="K133" s="2" t="s">
        <v>24</v>
      </c>
      <c r="L133" s="2"/>
      <c r="M133" s="2" t="s">
        <v>24</v>
      </c>
      <c r="N133" s="2" t="s">
        <v>35</v>
      </c>
      <c r="O133" s="2" t="s">
        <v>36</v>
      </c>
      <c r="P133" s="2"/>
      <c r="Q133" s="3"/>
      <c r="R133" s="3"/>
    </row>
    <row r="134" customFormat="false" ht="23.85" hidden="false" customHeight="false" outlineLevel="0" collapsed="false">
      <c r="A134" s="2" t="n">
        <v>133</v>
      </c>
      <c r="B134" s="2" t="s">
        <v>18</v>
      </c>
      <c r="C134" s="2" t="s">
        <v>539</v>
      </c>
      <c r="D134" s="2" t="s">
        <v>540</v>
      </c>
      <c r="E134" s="2" t="n">
        <v>2023</v>
      </c>
      <c r="F134" s="2" t="s">
        <v>541</v>
      </c>
      <c r="G134" s="2" t="s">
        <v>22</v>
      </c>
      <c r="H134" s="2" t="s">
        <v>542</v>
      </c>
      <c r="I134" s="2" t="s">
        <v>24</v>
      </c>
      <c r="J134" s="2"/>
      <c r="K134" s="2" t="s">
        <v>24</v>
      </c>
      <c r="L134" s="2"/>
      <c r="M134" s="2"/>
      <c r="N134" s="2" t="s">
        <v>35</v>
      </c>
      <c r="O134" s="2" t="s">
        <v>36</v>
      </c>
      <c r="P134" s="2"/>
      <c r="Q134" s="3"/>
      <c r="R134" s="3"/>
    </row>
    <row r="135" customFormat="false" ht="46.25" hidden="false" customHeight="false" outlineLevel="0" collapsed="false">
      <c r="A135" s="2" t="n">
        <v>134</v>
      </c>
      <c r="B135" s="2" t="s">
        <v>18</v>
      </c>
      <c r="C135" s="2" t="s">
        <v>543</v>
      </c>
      <c r="D135" s="2" t="s">
        <v>544</v>
      </c>
      <c r="E135" s="2" t="n">
        <v>2026</v>
      </c>
      <c r="F135" s="2" t="s">
        <v>545</v>
      </c>
      <c r="G135" s="2" t="s">
        <v>22</v>
      </c>
      <c r="H135" s="2" t="s">
        <v>546</v>
      </c>
      <c r="I135" s="2" t="s">
        <v>24</v>
      </c>
      <c r="J135" s="2"/>
      <c r="K135" s="2" t="s">
        <v>24</v>
      </c>
      <c r="L135" s="2"/>
      <c r="M135" s="2" t="s">
        <v>24</v>
      </c>
      <c r="N135" s="2" t="s">
        <v>25</v>
      </c>
      <c r="O135" s="2" t="s">
        <v>26</v>
      </c>
      <c r="P135" s="2"/>
      <c r="Q135" s="3"/>
      <c r="R135" s="3"/>
    </row>
    <row r="136" customFormat="false" ht="23.85" hidden="false" customHeight="false" outlineLevel="0" collapsed="false">
      <c r="A136" s="2" t="n">
        <v>135</v>
      </c>
      <c r="B136" s="2" t="s">
        <v>18</v>
      </c>
      <c r="C136" s="2" t="s">
        <v>547</v>
      </c>
      <c r="D136" s="2" t="s">
        <v>548</v>
      </c>
      <c r="E136" s="2" t="n">
        <v>2025</v>
      </c>
      <c r="F136" s="2" t="s">
        <v>549</v>
      </c>
      <c r="G136" s="2" t="s">
        <v>48</v>
      </c>
      <c r="H136" s="2" t="s">
        <v>550</v>
      </c>
      <c r="I136" s="2" t="s">
        <v>24</v>
      </c>
      <c r="J136" s="2"/>
      <c r="K136" s="2" t="s">
        <v>24</v>
      </c>
      <c r="L136" s="2"/>
      <c r="M136" s="2" t="s">
        <v>24</v>
      </c>
      <c r="N136" s="2" t="s">
        <v>35</v>
      </c>
      <c r="O136" s="2" t="s">
        <v>36</v>
      </c>
      <c r="P136" s="2"/>
      <c r="Q136" s="3"/>
      <c r="R136" s="3"/>
    </row>
    <row r="137" customFormat="false" ht="46.25" hidden="false" customHeight="false" outlineLevel="0" collapsed="false">
      <c r="A137" s="2" t="n">
        <v>136</v>
      </c>
      <c r="B137" s="2" t="s">
        <v>18</v>
      </c>
      <c r="C137" s="2" t="s">
        <v>551</v>
      </c>
      <c r="D137" s="2" t="s">
        <v>552</v>
      </c>
      <c r="E137" s="2" t="n">
        <v>2026</v>
      </c>
      <c r="F137" s="2" t="s">
        <v>553</v>
      </c>
      <c r="G137" s="2" t="s">
        <v>22</v>
      </c>
      <c r="H137" s="2"/>
      <c r="I137" s="2" t="s">
        <v>24</v>
      </c>
      <c r="J137" s="2"/>
      <c r="K137" s="2" t="s">
        <v>24</v>
      </c>
      <c r="L137" s="2"/>
      <c r="M137" s="2" t="s">
        <v>24</v>
      </c>
      <c r="N137" s="2" t="s">
        <v>25</v>
      </c>
      <c r="O137" s="2" t="s">
        <v>26</v>
      </c>
      <c r="P137" s="2"/>
      <c r="Q137" s="3"/>
      <c r="R137" s="3"/>
    </row>
    <row r="138" customFormat="false" ht="23.85" hidden="false" customHeight="false" outlineLevel="0" collapsed="false">
      <c r="A138" s="2" t="n">
        <v>137</v>
      </c>
      <c r="B138" s="2" t="s">
        <v>18</v>
      </c>
      <c r="C138" s="2" t="s">
        <v>554</v>
      </c>
      <c r="D138" s="2" t="s">
        <v>555</v>
      </c>
      <c r="E138" s="2" t="n">
        <v>2025</v>
      </c>
      <c r="F138" s="2" t="s">
        <v>223</v>
      </c>
      <c r="G138" s="2" t="s">
        <v>48</v>
      </c>
      <c r="H138" s="2"/>
      <c r="I138" s="2" t="s">
        <v>24</v>
      </c>
      <c r="J138" s="2"/>
      <c r="K138" s="2" t="s">
        <v>24</v>
      </c>
      <c r="L138" s="2"/>
      <c r="M138" s="2" t="s">
        <v>24</v>
      </c>
      <c r="N138" s="2" t="s">
        <v>35</v>
      </c>
      <c r="O138" s="2" t="s">
        <v>36</v>
      </c>
      <c r="P138" s="2"/>
      <c r="Q138" s="3"/>
      <c r="R138" s="3"/>
    </row>
    <row r="139" customFormat="false" ht="35.05" hidden="false" customHeight="false" outlineLevel="0" collapsed="false">
      <c r="A139" s="2" t="n">
        <v>138</v>
      </c>
      <c r="B139" s="2" t="s">
        <v>18</v>
      </c>
      <c r="C139" s="2" t="s">
        <v>556</v>
      </c>
      <c r="D139" s="2" t="s">
        <v>557</v>
      </c>
      <c r="E139" s="2" t="n">
        <v>2025</v>
      </c>
      <c r="F139" s="2" t="s">
        <v>558</v>
      </c>
      <c r="G139" s="2" t="s">
        <v>22</v>
      </c>
      <c r="H139" s="2" t="s">
        <v>559</v>
      </c>
      <c r="I139" s="2" t="s">
        <v>24</v>
      </c>
      <c r="J139" s="2"/>
      <c r="K139" s="2" t="s">
        <v>24</v>
      </c>
      <c r="L139" s="2"/>
      <c r="M139" s="2" t="s">
        <v>24</v>
      </c>
      <c r="N139" s="2" t="s">
        <v>35</v>
      </c>
      <c r="O139" s="2" t="s">
        <v>36</v>
      </c>
      <c r="P139" s="2"/>
      <c r="Q139" s="3"/>
      <c r="R139" s="3"/>
    </row>
    <row r="140" customFormat="false" ht="23.85" hidden="false" customHeight="false" outlineLevel="0" collapsed="false">
      <c r="A140" s="2" t="n">
        <v>139</v>
      </c>
      <c r="B140" s="2" t="s">
        <v>18</v>
      </c>
      <c r="C140" s="2" t="s">
        <v>560</v>
      </c>
      <c r="D140" s="2" t="s">
        <v>561</v>
      </c>
      <c r="E140" s="2" t="n">
        <v>2026</v>
      </c>
      <c r="F140" s="2" t="s">
        <v>562</v>
      </c>
      <c r="G140" s="2" t="s">
        <v>48</v>
      </c>
      <c r="H140" s="2" t="s">
        <v>563</v>
      </c>
      <c r="I140" s="2"/>
      <c r="J140" s="2" t="s">
        <v>24</v>
      </c>
      <c r="K140" s="2" t="s">
        <v>24</v>
      </c>
      <c r="L140" s="2"/>
      <c r="M140" s="2"/>
      <c r="N140" s="2" t="s">
        <v>35</v>
      </c>
      <c r="O140" s="2" t="s">
        <v>36</v>
      </c>
      <c r="P140" s="2"/>
      <c r="Q140" s="3"/>
      <c r="R140" s="3"/>
    </row>
    <row r="141" customFormat="false" ht="57.45" hidden="false" customHeight="false" outlineLevel="0" collapsed="false">
      <c r="A141" s="2" t="n">
        <v>140</v>
      </c>
      <c r="B141" s="2" t="s">
        <v>18</v>
      </c>
      <c r="C141" s="2" t="s">
        <v>564</v>
      </c>
      <c r="D141" s="2" t="s">
        <v>565</v>
      </c>
      <c r="E141" s="2" t="n">
        <v>2026</v>
      </c>
      <c r="F141" s="2" t="s">
        <v>445</v>
      </c>
      <c r="G141" s="2" t="s">
        <v>22</v>
      </c>
      <c r="H141" s="2" t="s">
        <v>566</v>
      </c>
      <c r="I141" s="2" t="s">
        <v>24</v>
      </c>
      <c r="J141" s="2"/>
      <c r="K141" s="2" t="s">
        <v>24</v>
      </c>
      <c r="L141" s="2"/>
      <c r="M141" s="2" t="s">
        <v>24</v>
      </c>
      <c r="N141" s="2" t="s">
        <v>35</v>
      </c>
      <c r="O141" s="2" t="s">
        <v>36</v>
      </c>
      <c r="P141" s="2"/>
      <c r="Q141" s="3"/>
      <c r="R141" s="3"/>
    </row>
    <row r="142" customFormat="false" ht="46.25" hidden="false" customHeight="false" outlineLevel="0" collapsed="false">
      <c r="A142" s="2" t="n">
        <v>141</v>
      </c>
      <c r="B142" s="2" t="s">
        <v>18</v>
      </c>
      <c r="C142" s="2" t="s">
        <v>567</v>
      </c>
      <c r="D142" s="2" t="s">
        <v>568</v>
      </c>
      <c r="E142" s="2" t="n">
        <v>2026</v>
      </c>
      <c r="F142" s="2" t="s">
        <v>569</v>
      </c>
      <c r="G142" s="2" t="s">
        <v>22</v>
      </c>
      <c r="H142" s="2" t="s">
        <v>570</v>
      </c>
      <c r="I142" s="2" t="s">
        <v>24</v>
      </c>
      <c r="J142" s="2"/>
      <c r="K142" s="2" t="s">
        <v>24</v>
      </c>
      <c r="L142" s="2"/>
      <c r="M142" s="2" t="s">
        <v>24</v>
      </c>
      <c r="N142" s="2" t="s">
        <v>35</v>
      </c>
      <c r="O142" s="2" t="s">
        <v>36</v>
      </c>
      <c r="P142" s="2"/>
      <c r="Q142" s="3"/>
      <c r="R142" s="3"/>
    </row>
    <row r="143" customFormat="false" ht="35.05" hidden="false" customHeight="false" outlineLevel="0" collapsed="false">
      <c r="A143" s="2" t="n">
        <v>142</v>
      </c>
      <c r="B143" s="2" t="s">
        <v>18</v>
      </c>
      <c r="C143" s="2" t="s">
        <v>571</v>
      </c>
      <c r="D143" s="2" t="s">
        <v>572</v>
      </c>
      <c r="E143" s="2" t="n">
        <v>2025</v>
      </c>
      <c r="F143" s="2" t="s">
        <v>573</v>
      </c>
      <c r="G143" s="2" t="s">
        <v>22</v>
      </c>
      <c r="H143" s="2" t="s">
        <v>574</v>
      </c>
      <c r="I143" s="2" t="s">
        <v>24</v>
      </c>
      <c r="J143" s="2"/>
      <c r="K143" s="2" t="s">
        <v>24</v>
      </c>
      <c r="L143" s="2"/>
      <c r="M143" s="2"/>
      <c r="N143" s="2" t="s">
        <v>35</v>
      </c>
      <c r="O143" s="2" t="s">
        <v>36</v>
      </c>
      <c r="P143" s="2"/>
      <c r="Q143" s="3"/>
      <c r="R143" s="3"/>
    </row>
    <row r="144" customFormat="false" ht="23.85" hidden="false" customHeight="false" outlineLevel="0" collapsed="false">
      <c r="A144" s="2" t="n">
        <v>143</v>
      </c>
      <c r="B144" s="2" t="s">
        <v>18</v>
      </c>
      <c r="C144" s="2" t="s">
        <v>575</v>
      </c>
      <c r="D144" s="2" t="s">
        <v>576</v>
      </c>
      <c r="E144" s="2" t="n">
        <v>2026</v>
      </c>
      <c r="F144" s="2" t="s">
        <v>577</v>
      </c>
      <c r="G144" s="2" t="s">
        <v>48</v>
      </c>
      <c r="H144" s="2" t="s">
        <v>578</v>
      </c>
      <c r="I144" s="2" t="s">
        <v>24</v>
      </c>
      <c r="J144" s="2"/>
      <c r="K144" s="2" t="s">
        <v>24</v>
      </c>
      <c r="L144" s="2"/>
      <c r="M144" s="2" t="s">
        <v>24</v>
      </c>
      <c r="N144" s="2" t="s">
        <v>35</v>
      </c>
      <c r="O144" s="2" t="s">
        <v>36</v>
      </c>
      <c r="P144" s="2"/>
      <c r="Q144" s="3"/>
      <c r="R144" s="3"/>
    </row>
    <row r="145" customFormat="false" ht="46.25" hidden="false" customHeight="false" outlineLevel="0" collapsed="false">
      <c r="A145" s="2" t="n">
        <v>144</v>
      </c>
      <c r="B145" s="2" t="s">
        <v>18</v>
      </c>
      <c r="C145" s="2" t="s">
        <v>579</v>
      </c>
      <c r="D145" s="2" t="s">
        <v>580</v>
      </c>
      <c r="E145" s="2" t="n">
        <v>2026</v>
      </c>
      <c r="F145" s="2" t="s">
        <v>581</v>
      </c>
      <c r="G145" s="2" t="s">
        <v>22</v>
      </c>
      <c r="H145" s="2" t="s">
        <v>582</v>
      </c>
      <c r="I145" s="2" t="s">
        <v>24</v>
      </c>
      <c r="J145" s="2"/>
      <c r="K145" s="2" t="s">
        <v>24</v>
      </c>
      <c r="L145" s="2"/>
      <c r="M145" s="2" t="s">
        <v>24</v>
      </c>
      <c r="N145" s="2" t="s">
        <v>25</v>
      </c>
      <c r="O145" s="2" t="s">
        <v>26</v>
      </c>
      <c r="P145" s="2"/>
      <c r="Q145" s="3"/>
      <c r="R145" s="3"/>
    </row>
    <row r="146" customFormat="false" ht="57.45" hidden="false" customHeight="false" outlineLevel="0" collapsed="false">
      <c r="A146" s="2" t="n">
        <v>145</v>
      </c>
      <c r="B146" s="2" t="s">
        <v>18</v>
      </c>
      <c r="C146" s="2" t="s">
        <v>583</v>
      </c>
      <c r="D146" s="2" t="s">
        <v>584</v>
      </c>
      <c r="E146" s="2" t="n">
        <v>2026</v>
      </c>
      <c r="F146" s="2" t="s">
        <v>585</v>
      </c>
      <c r="G146" s="2" t="s">
        <v>22</v>
      </c>
      <c r="H146" s="2" t="s">
        <v>586</v>
      </c>
      <c r="I146" s="2" t="s">
        <v>24</v>
      </c>
      <c r="J146" s="2"/>
      <c r="K146" s="2" t="s">
        <v>24</v>
      </c>
      <c r="L146" s="2"/>
      <c r="M146" s="2" t="s">
        <v>24</v>
      </c>
      <c r="N146" s="2" t="s">
        <v>35</v>
      </c>
      <c r="O146" s="2" t="s">
        <v>36</v>
      </c>
      <c r="P146" s="2"/>
      <c r="Q146" s="3"/>
      <c r="R146" s="3"/>
    </row>
    <row r="147" customFormat="false" ht="57.45" hidden="false" customHeight="false" outlineLevel="0" collapsed="false">
      <c r="A147" s="2" t="n">
        <v>146</v>
      </c>
      <c r="B147" s="2" t="s">
        <v>18</v>
      </c>
      <c r="C147" s="2" t="s">
        <v>587</v>
      </c>
      <c r="D147" s="2" t="s">
        <v>588</v>
      </c>
      <c r="E147" s="2" t="n">
        <v>2025</v>
      </c>
      <c r="F147" s="2" t="s">
        <v>589</v>
      </c>
      <c r="G147" s="2" t="s">
        <v>22</v>
      </c>
      <c r="H147" s="2" t="s">
        <v>590</v>
      </c>
      <c r="I147" s="2" t="s">
        <v>24</v>
      </c>
      <c r="J147" s="2"/>
      <c r="K147" s="2" t="s">
        <v>24</v>
      </c>
      <c r="L147" s="2"/>
      <c r="M147" s="2" t="s">
        <v>24</v>
      </c>
      <c r="N147" s="2" t="s">
        <v>25</v>
      </c>
      <c r="O147" s="2" t="s">
        <v>26</v>
      </c>
      <c r="P147" s="2"/>
      <c r="Q147" s="3"/>
      <c r="R147" s="3"/>
    </row>
    <row r="148" customFormat="false" ht="46.25" hidden="false" customHeight="false" outlineLevel="0" collapsed="false">
      <c r="A148" s="2" t="n">
        <v>147</v>
      </c>
      <c r="B148" s="2" t="s">
        <v>18</v>
      </c>
      <c r="C148" s="2" t="s">
        <v>591</v>
      </c>
      <c r="D148" s="2" t="s">
        <v>592</v>
      </c>
      <c r="E148" s="2" t="n">
        <v>2026</v>
      </c>
      <c r="F148" s="2" t="s">
        <v>85</v>
      </c>
      <c r="G148" s="2" t="s">
        <v>48</v>
      </c>
      <c r="H148" s="2" t="s">
        <v>593</v>
      </c>
      <c r="I148" s="2" t="s">
        <v>24</v>
      </c>
      <c r="J148" s="2"/>
      <c r="K148" s="2" t="s">
        <v>24</v>
      </c>
      <c r="L148" s="2"/>
      <c r="M148" s="2" t="s">
        <v>24</v>
      </c>
      <c r="N148" s="2" t="s">
        <v>35</v>
      </c>
      <c r="O148" s="2" t="s">
        <v>36</v>
      </c>
      <c r="P148" s="2"/>
      <c r="Q148" s="3"/>
      <c r="R148" s="3"/>
    </row>
    <row r="149" customFormat="false" ht="23.85" hidden="false" customHeight="false" outlineLevel="0" collapsed="false">
      <c r="A149" s="2" t="n">
        <v>148</v>
      </c>
      <c r="B149" s="2" t="s">
        <v>18</v>
      </c>
      <c r="C149" s="2" t="s">
        <v>594</v>
      </c>
      <c r="D149" s="2" t="s">
        <v>595</v>
      </c>
      <c r="E149" s="2" t="n">
        <v>2026</v>
      </c>
      <c r="F149" s="2" t="s">
        <v>596</v>
      </c>
      <c r="G149" s="2" t="s">
        <v>48</v>
      </c>
      <c r="H149" s="2" t="s">
        <v>597</v>
      </c>
      <c r="I149" s="2" t="s">
        <v>24</v>
      </c>
      <c r="J149" s="2"/>
      <c r="K149" s="2" t="s">
        <v>24</v>
      </c>
      <c r="L149" s="2"/>
      <c r="M149" s="2" t="s">
        <v>24</v>
      </c>
      <c r="N149" s="2" t="s">
        <v>35</v>
      </c>
      <c r="O149" s="2" t="s">
        <v>36</v>
      </c>
      <c r="P149" s="2"/>
      <c r="Q149" s="3"/>
      <c r="R149" s="3"/>
    </row>
    <row r="150" customFormat="false" ht="35.05" hidden="false" customHeight="false" outlineLevel="0" collapsed="false">
      <c r="A150" s="2" t="n">
        <v>149</v>
      </c>
      <c r="B150" s="2" t="s">
        <v>18</v>
      </c>
      <c r="C150" s="2" t="s">
        <v>598</v>
      </c>
      <c r="D150" s="2" t="s">
        <v>599</v>
      </c>
      <c r="E150" s="2" t="n">
        <v>2025</v>
      </c>
      <c r="F150" s="2" t="s">
        <v>600</v>
      </c>
      <c r="G150" s="2" t="s">
        <v>48</v>
      </c>
      <c r="H150" s="2" t="s">
        <v>601</v>
      </c>
      <c r="I150" s="2" t="s">
        <v>24</v>
      </c>
      <c r="J150" s="2"/>
      <c r="K150" s="2" t="s">
        <v>24</v>
      </c>
      <c r="L150" s="2"/>
      <c r="M150" s="2" t="s">
        <v>24</v>
      </c>
      <c r="N150" s="2" t="s">
        <v>25</v>
      </c>
      <c r="O150" s="2" t="s">
        <v>26</v>
      </c>
      <c r="P150" s="2"/>
      <c r="Q150" s="3"/>
      <c r="R150" s="3"/>
    </row>
    <row r="151" customFormat="false" ht="46.25" hidden="false" customHeight="false" outlineLevel="0" collapsed="false">
      <c r="A151" s="2" t="n">
        <v>150</v>
      </c>
      <c r="B151" s="2" t="s">
        <v>18</v>
      </c>
      <c r="C151" s="2" t="s">
        <v>602</v>
      </c>
      <c r="D151" s="2" t="s">
        <v>603</v>
      </c>
      <c r="E151" s="2" t="n">
        <v>2025</v>
      </c>
      <c r="F151" s="2" t="s">
        <v>604</v>
      </c>
      <c r="G151" s="2" t="s">
        <v>22</v>
      </c>
      <c r="H151" s="2" t="s">
        <v>605</v>
      </c>
      <c r="I151" s="2" t="s">
        <v>24</v>
      </c>
      <c r="J151" s="2" t="s">
        <v>24</v>
      </c>
      <c r="K151" s="2" t="s">
        <v>24</v>
      </c>
      <c r="L151" s="2"/>
      <c r="M151" s="2"/>
      <c r="N151" s="2" t="s">
        <v>35</v>
      </c>
      <c r="O151" s="2" t="s">
        <v>36</v>
      </c>
      <c r="P151" s="2"/>
      <c r="Q151" s="3"/>
      <c r="R151" s="3"/>
    </row>
    <row r="152" customFormat="false" ht="68.65" hidden="false" customHeight="false" outlineLevel="0" collapsed="false">
      <c r="A152" s="2" t="n">
        <v>151</v>
      </c>
      <c r="B152" s="2" t="s">
        <v>18</v>
      </c>
      <c r="C152" s="2" t="s">
        <v>606</v>
      </c>
      <c r="D152" s="2" t="s">
        <v>607</v>
      </c>
      <c r="E152" s="2" t="n">
        <v>2026</v>
      </c>
      <c r="F152" s="2" t="s">
        <v>384</v>
      </c>
      <c r="G152" s="2" t="s">
        <v>48</v>
      </c>
      <c r="H152" s="2" t="s">
        <v>608</v>
      </c>
      <c r="I152" s="2" t="s">
        <v>24</v>
      </c>
      <c r="J152" s="2"/>
      <c r="K152" s="2" t="s">
        <v>24</v>
      </c>
      <c r="L152" s="2"/>
      <c r="M152" s="2" t="s">
        <v>24</v>
      </c>
      <c r="N152" s="2" t="s">
        <v>25</v>
      </c>
      <c r="O152" s="2" t="s">
        <v>26</v>
      </c>
      <c r="P152" s="2"/>
      <c r="Q152" s="3"/>
      <c r="R152" s="3"/>
    </row>
    <row r="153" customFormat="false" ht="46.25" hidden="false" customHeight="false" outlineLevel="0" collapsed="false">
      <c r="A153" s="2" t="n">
        <v>152</v>
      </c>
      <c r="B153" s="2" t="s">
        <v>18</v>
      </c>
      <c r="C153" s="2" t="s">
        <v>609</v>
      </c>
      <c r="D153" s="2" t="s">
        <v>610</v>
      </c>
      <c r="E153" s="2" t="n">
        <v>2025</v>
      </c>
      <c r="F153" s="2" t="s">
        <v>611</v>
      </c>
      <c r="G153" s="2" t="s">
        <v>22</v>
      </c>
      <c r="H153" s="2" t="s">
        <v>612</v>
      </c>
      <c r="I153" s="2" t="s">
        <v>24</v>
      </c>
      <c r="J153" s="2"/>
      <c r="K153" s="2" t="s">
        <v>24</v>
      </c>
      <c r="L153" s="2"/>
      <c r="M153" s="2" t="s">
        <v>24</v>
      </c>
      <c r="N153" s="2" t="s">
        <v>35</v>
      </c>
      <c r="O153" s="2" t="s">
        <v>36</v>
      </c>
      <c r="P153" s="2"/>
      <c r="Q153" s="3"/>
      <c r="R153" s="3"/>
    </row>
    <row r="154" customFormat="false" ht="57.45" hidden="false" customHeight="false" outlineLevel="0" collapsed="false">
      <c r="A154" s="2" t="n">
        <v>153</v>
      </c>
      <c r="B154" s="2" t="s">
        <v>18</v>
      </c>
      <c r="C154" s="2" t="s">
        <v>613</v>
      </c>
      <c r="D154" s="2" t="s">
        <v>614</v>
      </c>
      <c r="E154" s="2" t="n">
        <v>2025</v>
      </c>
      <c r="F154" s="2" t="s">
        <v>615</v>
      </c>
      <c r="G154" s="2" t="s">
        <v>22</v>
      </c>
      <c r="H154" s="2" t="s">
        <v>616</v>
      </c>
      <c r="I154" s="2" t="s">
        <v>24</v>
      </c>
      <c r="J154" s="2"/>
      <c r="K154" s="2" t="s">
        <v>24</v>
      </c>
      <c r="L154" s="2"/>
      <c r="M154" s="2" t="s">
        <v>24</v>
      </c>
      <c r="N154" s="2" t="s">
        <v>35</v>
      </c>
      <c r="O154" s="2" t="s">
        <v>36</v>
      </c>
      <c r="P154" s="2"/>
      <c r="Q154" s="3"/>
      <c r="R154" s="3"/>
    </row>
    <row r="155" customFormat="false" ht="23.85" hidden="false" customHeight="false" outlineLevel="0" collapsed="false">
      <c r="A155" s="2" t="n">
        <v>154</v>
      </c>
      <c r="B155" s="2" t="s">
        <v>18</v>
      </c>
      <c r="C155" s="2" t="s">
        <v>617</v>
      </c>
      <c r="D155" s="2" t="s">
        <v>618</v>
      </c>
      <c r="E155" s="2" t="n">
        <v>2026</v>
      </c>
      <c r="F155" s="2" t="s">
        <v>85</v>
      </c>
      <c r="G155" s="2" t="s">
        <v>48</v>
      </c>
      <c r="H155" s="2" t="s">
        <v>619</v>
      </c>
      <c r="I155" s="2" t="s">
        <v>24</v>
      </c>
      <c r="J155" s="2"/>
      <c r="K155" s="2" t="s">
        <v>24</v>
      </c>
      <c r="L155" s="2"/>
      <c r="M155" s="2" t="s">
        <v>24</v>
      </c>
      <c r="N155" s="2" t="s">
        <v>35</v>
      </c>
      <c r="O155" s="2" t="s">
        <v>36</v>
      </c>
      <c r="P155" s="2"/>
      <c r="Q155" s="3"/>
      <c r="R155" s="3"/>
    </row>
    <row r="156" customFormat="false" ht="23.85" hidden="false" customHeight="false" outlineLevel="0" collapsed="false">
      <c r="A156" s="2" t="n">
        <v>155</v>
      </c>
      <c r="B156" s="2" t="s">
        <v>18</v>
      </c>
      <c r="C156" s="2" t="s">
        <v>620</v>
      </c>
      <c r="D156" s="2" t="s">
        <v>621</v>
      </c>
      <c r="E156" s="2" t="n">
        <v>2025</v>
      </c>
      <c r="F156" s="2" t="s">
        <v>264</v>
      </c>
      <c r="G156" s="2" t="s">
        <v>48</v>
      </c>
      <c r="H156" s="2" t="s">
        <v>622</v>
      </c>
      <c r="I156" s="2" t="s">
        <v>24</v>
      </c>
      <c r="J156" s="2"/>
      <c r="K156" s="2" t="s">
        <v>24</v>
      </c>
      <c r="L156" s="2"/>
      <c r="M156" s="2" t="s">
        <v>24</v>
      </c>
      <c r="N156" s="2" t="s">
        <v>35</v>
      </c>
      <c r="O156" s="2" t="s">
        <v>36</v>
      </c>
      <c r="P156" s="2"/>
      <c r="Q156" s="3"/>
      <c r="R156" s="3"/>
    </row>
    <row r="157" customFormat="false" ht="23.85" hidden="false" customHeight="false" outlineLevel="0" collapsed="false">
      <c r="A157" s="2" t="n">
        <v>156</v>
      </c>
      <c r="B157" s="2" t="s">
        <v>18</v>
      </c>
      <c r="C157" s="2" t="s">
        <v>623</v>
      </c>
      <c r="D157" s="2" t="s">
        <v>624</v>
      </c>
      <c r="E157" s="2" t="n">
        <v>2026</v>
      </c>
      <c r="F157" s="2" t="s">
        <v>625</v>
      </c>
      <c r="G157" s="2" t="s">
        <v>48</v>
      </c>
      <c r="H157" s="2" t="s">
        <v>626</v>
      </c>
      <c r="I157" s="2" t="s">
        <v>24</v>
      </c>
      <c r="J157" s="2"/>
      <c r="K157" s="2" t="s">
        <v>24</v>
      </c>
      <c r="L157" s="2"/>
      <c r="M157" s="2" t="s">
        <v>24</v>
      </c>
      <c r="N157" s="2" t="s">
        <v>158</v>
      </c>
      <c r="O157" s="2" t="s">
        <v>159</v>
      </c>
      <c r="P157" s="2"/>
      <c r="Q157" s="3"/>
      <c r="R157" s="3"/>
    </row>
    <row r="158" customFormat="false" ht="35.05" hidden="false" customHeight="false" outlineLevel="0" collapsed="false">
      <c r="A158" s="2" t="n">
        <v>157</v>
      </c>
      <c r="B158" s="2" t="s">
        <v>18</v>
      </c>
      <c r="C158" s="2" t="s">
        <v>627</v>
      </c>
      <c r="D158" s="2" t="s">
        <v>628</v>
      </c>
      <c r="E158" s="2" t="n">
        <v>2026</v>
      </c>
      <c r="F158" s="2" t="s">
        <v>65</v>
      </c>
      <c r="G158" s="2" t="s">
        <v>48</v>
      </c>
      <c r="H158" s="2" t="s">
        <v>629</v>
      </c>
      <c r="I158" s="2" t="s">
        <v>24</v>
      </c>
      <c r="J158" s="2" t="s">
        <v>24</v>
      </c>
      <c r="K158" s="2" t="s">
        <v>24</v>
      </c>
      <c r="L158" s="2"/>
      <c r="M158" s="2" t="s">
        <v>24</v>
      </c>
      <c r="N158" s="2" t="s">
        <v>35</v>
      </c>
      <c r="O158" s="2" t="s">
        <v>36</v>
      </c>
      <c r="P158" s="2"/>
      <c r="Q158" s="3"/>
      <c r="R158" s="3"/>
    </row>
    <row r="159" customFormat="false" ht="23.85" hidden="false" customHeight="false" outlineLevel="0" collapsed="false">
      <c r="A159" s="2" t="n">
        <v>158</v>
      </c>
      <c r="B159" s="2" t="s">
        <v>18</v>
      </c>
      <c r="C159" s="2" t="s">
        <v>630</v>
      </c>
      <c r="D159" s="2" t="s">
        <v>631</v>
      </c>
      <c r="E159" s="2" t="n">
        <v>2026</v>
      </c>
      <c r="F159" s="2" t="s">
        <v>632</v>
      </c>
      <c r="G159" s="2" t="s">
        <v>22</v>
      </c>
      <c r="H159" s="2" t="s">
        <v>633</v>
      </c>
      <c r="I159" s="2" t="s">
        <v>24</v>
      </c>
      <c r="J159" s="2"/>
      <c r="K159" s="2" t="s">
        <v>24</v>
      </c>
      <c r="L159" s="2"/>
      <c r="M159" s="2"/>
      <c r="N159" s="2" t="s">
        <v>158</v>
      </c>
      <c r="O159" s="2" t="s">
        <v>159</v>
      </c>
      <c r="P159" s="2"/>
      <c r="Q159" s="3"/>
      <c r="R159" s="3"/>
    </row>
    <row r="160" customFormat="false" ht="23.85" hidden="false" customHeight="false" outlineLevel="0" collapsed="false">
      <c r="A160" s="2" t="n">
        <v>159</v>
      </c>
      <c r="B160" s="2" t="s">
        <v>18</v>
      </c>
      <c r="C160" s="2" t="s">
        <v>634</v>
      </c>
      <c r="D160" s="2" t="s">
        <v>635</v>
      </c>
      <c r="E160" s="2" t="n">
        <v>2026</v>
      </c>
      <c r="F160" s="2" t="s">
        <v>47</v>
      </c>
      <c r="G160" s="2" t="s">
        <v>48</v>
      </c>
      <c r="H160" s="2" t="s">
        <v>636</v>
      </c>
      <c r="I160" s="2" t="s">
        <v>24</v>
      </c>
      <c r="J160" s="2"/>
      <c r="K160" s="2" t="s">
        <v>24</v>
      </c>
      <c r="L160" s="2"/>
      <c r="M160" s="2"/>
      <c r="N160" s="2" t="s">
        <v>35</v>
      </c>
      <c r="O160" s="2" t="s">
        <v>36</v>
      </c>
      <c r="P160" s="2"/>
      <c r="Q160" s="3"/>
      <c r="R160" s="3"/>
    </row>
    <row r="161" customFormat="false" ht="46.25" hidden="false" customHeight="false" outlineLevel="0" collapsed="false">
      <c r="A161" s="2" t="n">
        <v>160</v>
      </c>
      <c r="B161" s="2" t="s">
        <v>18</v>
      </c>
      <c r="C161" s="2" t="s">
        <v>637</v>
      </c>
      <c r="D161" s="2" t="s">
        <v>638</v>
      </c>
      <c r="E161" s="2" t="n">
        <v>2025</v>
      </c>
      <c r="F161" s="2" t="s">
        <v>639</v>
      </c>
      <c r="G161" s="2" t="s">
        <v>22</v>
      </c>
      <c r="H161" s="2" t="s">
        <v>640</v>
      </c>
      <c r="I161" s="2" t="s">
        <v>24</v>
      </c>
      <c r="J161" s="2"/>
      <c r="K161" s="2" t="s">
        <v>24</v>
      </c>
      <c r="L161" s="2"/>
      <c r="M161" s="2"/>
      <c r="N161" s="2" t="s">
        <v>35</v>
      </c>
      <c r="O161" s="2" t="s">
        <v>36</v>
      </c>
      <c r="P161" s="2"/>
      <c r="Q161" s="3"/>
      <c r="R161" s="3"/>
    </row>
    <row r="162" customFormat="false" ht="23.85" hidden="false" customHeight="false" outlineLevel="0" collapsed="false">
      <c r="A162" s="4" t="n">
        <v>161</v>
      </c>
      <c r="B162" s="4" t="s">
        <v>18</v>
      </c>
      <c r="C162" s="4" t="s">
        <v>641</v>
      </c>
      <c r="D162" s="4" t="s">
        <v>642</v>
      </c>
      <c r="E162" s="4" t="n">
        <v>2026</v>
      </c>
      <c r="F162" s="4" t="s">
        <v>643</v>
      </c>
      <c r="G162" s="4" t="s">
        <v>48</v>
      </c>
      <c r="H162" s="4" t="s">
        <v>644</v>
      </c>
      <c r="I162" s="4" t="s">
        <v>24</v>
      </c>
      <c r="J162" s="4" t="s">
        <v>24</v>
      </c>
      <c r="K162" s="4" t="s">
        <v>24</v>
      </c>
      <c r="L162" s="4"/>
      <c r="M162" s="4"/>
      <c r="N162" s="4" t="s">
        <v>35</v>
      </c>
      <c r="O162" s="4" t="s">
        <v>36</v>
      </c>
      <c r="P162" s="4" t="s">
        <v>107</v>
      </c>
      <c r="Q162" s="5"/>
      <c r="R162" s="5"/>
    </row>
    <row r="163" customFormat="false" ht="23.85" hidden="false" customHeight="false" outlineLevel="0" collapsed="false">
      <c r="A163" s="2" t="n">
        <v>162</v>
      </c>
      <c r="B163" s="2" t="s">
        <v>18</v>
      </c>
      <c r="C163" s="2" t="s">
        <v>645</v>
      </c>
      <c r="D163" s="2" t="s">
        <v>646</v>
      </c>
      <c r="E163" s="2" t="n">
        <v>2026</v>
      </c>
      <c r="F163" s="2" t="s">
        <v>85</v>
      </c>
      <c r="G163" s="2" t="s">
        <v>48</v>
      </c>
      <c r="H163" s="2" t="s">
        <v>647</v>
      </c>
      <c r="I163" s="2" t="s">
        <v>24</v>
      </c>
      <c r="J163" s="2"/>
      <c r="K163" s="2" t="s">
        <v>24</v>
      </c>
      <c r="L163" s="2"/>
      <c r="M163" s="2"/>
      <c r="N163" s="2" t="s">
        <v>35</v>
      </c>
      <c r="O163" s="2" t="s">
        <v>36</v>
      </c>
      <c r="P163" s="2"/>
      <c r="Q163" s="3"/>
      <c r="R163" s="3"/>
    </row>
    <row r="164" customFormat="false" ht="35.05" hidden="false" customHeight="false" outlineLevel="0" collapsed="false">
      <c r="A164" s="2" t="n">
        <v>163</v>
      </c>
      <c r="B164" s="2" t="s">
        <v>18</v>
      </c>
      <c r="C164" s="2" t="s">
        <v>648</v>
      </c>
      <c r="D164" s="2" t="s">
        <v>649</v>
      </c>
      <c r="E164" s="2" t="n">
        <v>2026</v>
      </c>
      <c r="F164" s="2" t="s">
        <v>85</v>
      </c>
      <c r="G164" s="2" t="s">
        <v>48</v>
      </c>
      <c r="H164" s="2" t="s">
        <v>650</v>
      </c>
      <c r="I164" s="2" t="s">
        <v>24</v>
      </c>
      <c r="J164" s="2"/>
      <c r="K164" s="2" t="s">
        <v>24</v>
      </c>
      <c r="L164" s="2"/>
      <c r="M164" s="2" t="s">
        <v>24</v>
      </c>
      <c r="N164" s="2" t="s">
        <v>35</v>
      </c>
      <c r="O164" s="2" t="s">
        <v>36</v>
      </c>
      <c r="P164" s="2"/>
      <c r="Q164" s="3"/>
      <c r="R164" s="3"/>
    </row>
    <row r="165" customFormat="false" ht="23.85" hidden="false" customHeight="false" outlineLevel="0" collapsed="false">
      <c r="A165" s="2" t="n">
        <v>164</v>
      </c>
      <c r="B165" s="2" t="s">
        <v>18</v>
      </c>
      <c r="C165" s="2" t="s">
        <v>651</v>
      </c>
      <c r="D165" s="2" t="s">
        <v>652</v>
      </c>
      <c r="E165" s="2" t="n">
        <v>2026</v>
      </c>
      <c r="F165" s="2" t="s">
        <v>226</v>
      </c>
      <c r="G165" s="2" t="s">
        <v>48</v>
      </c>
      <c r="H165" s="2" t="s">
        <v>653</v>
      </c>
      <c r="I165" s="2" t="s">
        <v>24</v>
      </c>
      <c r="J165" s="2"/>
      <c r="K165" s="2" t="s">
        <v>24</v>
      </c>
      <c r="L165" s="2"/>
      <c r="M165" s="2" t="s">
        <v>24</v>
      </c>
      <c r="N165" s="2" t="s">
        <v>35</v>
      </c>
      <c r="O165" s="2" t="s">
        <v>36</v>
      </c>
      <c r="P165" s="2"/>
      <c r="Q165" s="3"/>
      <c r="R165" s="3"/>
    </row>
    <row r="166" customFormat="false" ht="46.25" hidden="false" customHeight="false" outlineLevel="0" collapsed="false">
      <c r="A166" s="2" t="n">
        <v>165</v>
      </c>
      <c r="B166" s="2" t="s">
        <v>18</v>
      </c>
      <c r="C166" s="2" t="s">
        <v>654</v>
      </c>
      <c r="D166" s="2" t="s">
        <v>655</v>
      </c>
      <c r="E166" s="2" t="n">
        <v>2026</v>
      </c>
      <c r="F166" s="2" t="s">
        <v>549</v>
      </c>
      <c r="G166" s="2" t="s">
        <v>48</v>
      </c>
      <c r="H166" s="2" t="s">
        <v>656</v>
      </c>
      <c r="I166" s="2" t="s">
        <v>24</v>
      </c>
      <c r="J166" s="2"/>
      <c r="K166" s="2" t="s">
        <v>24</v>
      </c>
      <c r="L166" s="2"/>
      <c r="M166" s="2" t="s">
        <v>24</v>
      </c>
      <c r="N166" s="2" t="s">
        <v>25</v>
      </c>
      <c r="O166" s="2" t="s">
        <v>26</v>
      </c>
      <c r="P166" s="2"/>
      <c r="Q166" s="3"/>
      <c r="R166" s="3"/>
    </row>
    <row r="167" customFormat="false" ht="23.85" hidden="false" customHeight="false" outlineLevel="0" collapsed="false">
      <c r="A167" s="2" t="n">
        <v>166</v>
      </c>
      <c r="B167" s="2" t="s">
        <v>18</v>
      </c>
      <c r="C167" s="2" t="s">
        <v>657</v>
      </c>
      <c r="D167" s="2" t="s">
        <v>658</v>
      </c>
      <c r="E167" s="2" t="n">
        <v>2026</v>
      </c>
      <c r="F167" s="2" t="s">
        <v>577</v>
      </c>
      <c r="G167" s="2" t="s">
        <v>48</v>
      </c>
      <c r="H167" s="2" t="s">
        <v>659</v>
      </c>
      <c r="I167" s="2" t="s">
        <v>24</v>
      </c>
      <c r="J167" s="2"/>
      <c r="K167" s="2" t="s">
        <v>24</v>
      </c>
      <c r="L167" s="2"/>
      <c r="M167" s="2" t="s">
        <v>24</v>
      </c>
      <c r="N167" s="2" t="s">
        <v>35</v>
      </c>
      <c r="O167" s="2" t="s">
        <v>36</v>
      </c>
      <c r="P167" s="2"/>
      <c r="Q167" s="3"/>
      <c r="R167" s="3"/>
    </row>
    <row r="168" customFormat="false" ht="35.05" hidden="false" customHeight="false" outlineLevel="0" collapsed="false">
      <c r="A168" s="2" t="n">
        <v>167</v>
      </c>
      <c r="B168" s="2" t="s">
        <v>18</v>
      </c>
      <c r="C168" s="2" t="s">
        <v>660</v>
      </c>
      <c r="D168" s="2" t="s">
        <v>661</v>
      </c>
      <c r="E168" s="2" t="n">
        <v>2025</v>
      </c>
      <c r="F168" s="2" t="s">
        <v>662</v>
      </c>
      <c r="G168" s="2" t="s">
        <v>22</v>
      </c>
      <c r="H168" s="2" t="s">
        <v>663</v>
      </c>
      <c r="I168" s="2" t="s">
        <v>24</v>
      </c>
      <c r="J168" s="2"/>
      <c r="K168" s="2" t="s">
        <v>24</v>
      </c>
      <c r="L168" s="2"/>
      <c r="M168" s="2" t="s">
        <v>24</v>
      </c>
      <c r="N168" s="2" t="s">
        <v>35</v>
      </c>
      <c r="O168" s="2" t="s">
        <v>36</v>
      </c>
      <c r="P168" s="2"/>
      <c r="Q168" s="3"/>
      <c r="R168" s="3"/>
    </row>
    <row r="169" customFormat="false" ht="23.85" hidden="false" customHeight="false" outlineLevel="0" collapsed="false">
      <c r="A169" s="2" t="n">
        <v>168</v>
      </c>
      <c r="B169" s="2" t="s">
        <v>18</v>
      </c>
      <c r="C169" s="2" t="s">
        <v>664</v>
      </c>
      <c r="D169" s="2" t="s">
        <v>665</v>
      </c>
      <c r="E169" s="2" t="n">
        <v>2026</v>
      </c>
      <c r="F169" s="2" t="s">
        <v>666</v>
      </c>
      <c r="G169" s="2" t="s">
        <v>48</v>
      </c>
      <c r="H169" s="2" t="s">
        <v>667</v>
      </c>
      <c r="I169" s="2" t="s">
        <v>24</v>
      </c>
      <c r="J169" s="2"/>
      <c r="K169" s="2" t="s">
        <v>24</v>
      </c>
      <c r="L169" s="2"/>
      <c r="M169" s="2" t="s">
        <v>24</v>
      </c>
      <c r="N169" s="2" t="s">
        <v>35</v>
      </c>
      <c r="O169" s="2" t="s">
        <v>36</v>
      </c>
      <c r="P169" s="2"/>
      <c r="Q169" s="3"/>
      <c r="R169" s="3"/>
    </row>
    <row r="170" customFormat="false" ht="57.45" hidden="false" customHeight="false" outlineLevel="0" collapsed="false">
      <c r="A170" s="2" t="n">
        <v>169</v>
      </c>
      <c r="B170" s="2" t="s">
        <v>18</v>
      </c>
      <c r="C170" s="2" t="s">
        <v>668</v>
      </c>
      <c r="D170" s="2" t="s">
        <v>669</v>
      </c>
      <c r="E170" s="2" t="n">
        <v>2026</v>
      </c>
      <c r="F170" s="2" t="s">
        <v>670</v>
      </c>
      <c r="G170" s="2" t="s">
        <v>22</v>
      </c>
      <c r="H170" s="2" t="s">
        <v>671</v>
      </c>
      <c r="I170" s="2" t="s">
        <v>24</v>
      </c>
      <c r="J170" s="2"/>
      <c r="K170" s="2" t="s">
        <v>24</v>
      </c>
      <c r="L170" s="2"/>
      <c r="M170" s="2"/>
      <c r="N170" s="2" t="s">
        <v>35</v>
      </c>
      <c r="O170" s="2" t="s">
        <v>36</v>
      </c>
      <c r="P170" s="2"/>
      <c r="Q170" s="3"/>
      <c r="R170" s="3"/>
    </row>
    <row r="171" customFormat="false" ht="46.25" hidden="false" customHeight="false" outlineLevel="0" collapsed="false">
      <c r="A171" s="2" t="n">
        <v>170</v>
      </c>
      <c r="B171" s="2" t="s">
        <v>18</v>
      </c>
      <c r="C171" s="2" t="s">
        <v>672</v>
      </c>
      <c r="D171" s="2" t="s">
        <v>673</v>
      </c>
      <c r="E171" s="2" t="n">
        <v>2023</v>
      </c>
      <c r="F171" s="2" t="s">
        <v>674</v>
      </c>
      <c r="G171" s="2" t="s">
        <v>22</v>
      </c>
      <c r="H171" s="2" t="s">
        <v>675</v>
      </c>
      <c r="I171" s="2" t="s">
        <v>24</v>
      </c>
      <c r="J171" s="2"/>
      <c r="K171" s="2" t="s">
        <v>24</v>
      </c>
      <c r="L171" s="2"/>
      <c r="M171" s="2"/>
      <c r="N171" s="2" t="s">
        <v>35</v>
      </c>
      <c r="O171" s="2" t="s">
        <v>36</v>
      </c>
      <c r="P171" s="2"/>
      <c r="Q171" s="3"/>
      <c r="R171" s="3"/>
    </row>
    <row r="172" customFormat="false" ht="23.85" hidden="false" customHeight="false" outlineLevel="0" collapsed="false">
      <c r="A172" s="2" t="n">
        <v>171</v>
      </c>
      <c r="B172" s="2" t="s">
        <v>18</v>
      </c>
      <c r="C172" s="2" t="s">
        <v>676</v>
      </c>
      <c r="D172" s="2" t="s">
        <v>677</v>
      </c>
      <c r="E172" s="2" t="n">
        <v>2025</v>
      </c>
      <c r="F172" s="2" t="s">
        <v>678</v>
      </c>
      <c r="G172" s="2" t="s">
        <v>48</v>
      </c>
      <c r="H172" s="2" t="s">
        <v>679</v>
      </c>
      <c r="I172" s="2"/>
      <c r="J172" s="2"/>
      <c r="K172" s="2" t="s">
        <v>24</v>
      </c>
      <c r="L172" s="2"/>
      <c r="M172" s="2" t="s">
        <v>24</v>
      </c>
      <c r="N172" s="2" t="s">
        <v>128</v>
      </c>
      <c r="O172" s="2" t="s">
        <v>129</v>
      </c>
      <c r="P172" s="2"/>
      <c r="Q172" s="3"/>
      <c r="R172" s="3"/>
    </row>
    <row r="173" customFormat="false" ht="35.05" hidden="false" customHeight="false" outlineLevel="0" collapsed="false">
      <c r="A173" s="2" t="n">
        <v>172</v>
      </c>
      <c r="B173" s="2" t="s">
        <v>18</v>
      </c>
      <c r="C173" s="2" t="s">
        <v>680</v>
      </c>
      <c r="D173" s="2" t="s">
        <v>681</v>
      </c>
      <c r="E173" s="2" t="n">
        <v>2025</v>
      </c>
      <c r="F173" s="2" t="s">
        <v>317</v>
      </c>
      <c r="G173" s="2" t="s">
        <v>22</v>
      </c>
      <c r="H173" s="2" t="s">
        <v>682</v>
      </c>
      <c r="I173" s="2" t="s">
        <v>24</v>
      </c>
      <c r="J173" s="2"/>
      <c r="K173" s="2" t="s">
        <v>24</v>
      </c>
      <c r="L173" s="2"/>
      <c r="M173" s="2" t="s">
        <v>24</v>
      </c>
      <c r="N173" s="2" t="s">
        <v>35</v>
      </c>
      <c r="O173" s="2" t="s">
        <v>36</v>
      </c>
      <c r="P173" s="2"/>
      <c r="Q173" s="3"/>
      <c r="R173" s="3"/>
    </row>
    <row r="174" customFormat="false" ht="23.85" hidden="false" customHeight="false" outlineLevel="0" collapsed="false">
      <c r="A174" s="2" t="n">
        <v>173</v>
      </c>
      <c r="B174" s="2" t="s">
        <v>18</v>
      </c>
      <c r="C174" s="2" t="s">
        <v>683</v>
      </c>
      <c r="D174" s="2" t="s">
        <v>120</v>
      </c>
      <c r="E174" s="2" t="n">
        <v>2026</v>
      </c>
      <c r="F174" s="2" t="s">
        <v>684</v>
      </c>
      <c r="G174" s="2" t="s">
        <v>48</v>
      </c>
      <c r="H174" s="2" t="s">
        <v>685</v>
      </c>
      <c r="I174" s="2" t="s">
        <v>24</v>
      </c>
      <c r="J174" s="2"/>
      <c r="K174" s="2" t="s">
        <v>24</v>
      </c>
      <c r="L174" s="2"/>
      <c r="M174" s="2" t="s">
        <v>24</v>
      </c>
      <c r="N174" s="2" t="s">
        <v>35</v>
      </c>
      <c r="O174" s="2" t="s">
        <v>36</v>
      </c>
      <c r="P174" s="2"/>
      <c r="Q174" s="3"/>
      <c r="R174" s="3"/>
    </row>
    <row r="175" customFormat="false" ht="35.05" hidden="false" customHeight="false" outlineLevel="0" collapsed="false">
      <c r="A175" s="2" t="n">
        <v>174</v>
      </c>
      <c r="B175" s="2" t="s">
        <v>18</v>
      </c>
      <c r="C175" s="2" t="s">
        <v>686</v>
      </c>
      <c r="D175" s="2" t="s">
        <v>687</v>
      </c>
      <c r="E175" s="2" t="n">
        <v>2025</v>
      </c>
      <c r="F175" s="2" t="s">
        <v>252</v>
      </c>
      <c r="G175" s="2" t="s">
        <v>48</v>
      </c>
      <c r="H175" s="2" t="s">
        <v>688</v>
      </c>
      <c r="I175" s="2" t="s">
        <v>24</v>
      </c>
      <c r="J175" s="2"/>
      <c r="K175" s="2" t="s">
        <v>24</v>
      </c>
      <c r="L175" s="2"/>
      <c r="M175" s="2" t="s">
        <v>24</v>
      </c>
      <c r="N175" s="2" t="s">
        <v>35</v>
      </c>
      <c r="O175" s="2" t="s">
        <v>36</v>
      </c>
      <c r="P175" s="2"/>
      <c r="Q175" s="3"/>
      <c r="R175" s="3"/>
    </row>
    <row r="176" customFormat="false" ht="23.85" hidden="false" customHeight="false" outlineLevel="0" collapsed="false">
      <c r="A176" s="2" t="n">
        <v>175</v>
      </c>
      <c r="B176" s="2" t="s">
        <v>18</v>
      </c>
      <c r="C176" s="2" t="s">
        <v>689</v>
      </c>
      <c r="D176" s="2" t="s">
        <v>690</v>
      </c>
      <c r="E176" s="2" t="n">
        <v>2025</v>
      </c>
      <c r="F176" s="2" t="s">
        <v>691</v>
      </c>
      <c r="G176" s="2" t="s">
        <v>48</v>
      </c>
      <c r="H176" s="2" t="s">
        <v>692</v>
      </c>
      <c r="I176" s="2" t="s">
        <v>24</v>
      </c>
      <c r="J176" s="2"/>
      <c r="K176" s="2" t="s">
        <v>24</v>
      </c>
      <c r="L176" s="2"/>
      <c r="M176" s="2" t="s">
        <v>24</v>
      </c>
      <c r="N176" s="2" t="s">
        <v>35</v>
      </c>
      <c r="O176" s="2" t="s">
        <v>36</v>
      </c>
      <c r="P176" s="2"/>
      <c r="Q176" s="3"/>
      <c r="R176" s="3"/>
    </row>
    <row r="177" customFormat="false" ht="46.25" hidden="false" customHeight="false" outlineLevel="0" collapsed="false">
      <c r="A177" s="2" t="n">
        <v>176</v>
      </c>
      <c r="B177" s="2" t="s">
        <v>18</v>
      </c>
      <c r="C177" s="2" t="s">
        <v>693</v>
      </c>
      <c r="D177" s="2" t="s">
        <v>694</v>
      </c>
      <c r="E177" s="2" t="n">
        <v>2025</v>
      </c>
      <c r="F177" s="2" t="s">
        <v>695</v>
      </c>
      <c r="G177" s="2" t="s">
        <v>22</v>
      </c>
      <c r="H177" s="2" t="s">
        <v>696</v>
      </c>
      <c r="I177" s="2" t="s">
        <v>24</v>
      </c>
      <c r="J177" s="2"/>
      <c r="K177" s="2" t="s">
        <v>24</v>
      </c>
      <c r="L177" s="2"/>
      <c r="M177" s="2" t="s">
        <v>24</v>
      </c>
      <c r="N177" s="2" t="s">
        <v>35</v>
      </c>
      <c r="O177" s="2" t="s">
        <v>36</v>
      </c>
      <c r="P177" s="2"/>
      <c r="Q177" s="3"/>
      <c r="R177" s="3"/>
    </row>
    <row r="178" customFormat="false" ht="23.85" hidden="false" customHeight="false" outlineLevel="0" collapsed="false">
      <c r="A178" s="2" t="n">
        <v>177</v>
      </c>
      <c r="B178" s="2" t="s">
        <v>18</v>
      </c>
      <c r="C178" s="2" t="s">
        <v>697</v>
      </c>
      <c r="D178" s="2" t="s">
        <v>698</v>
      </c>
      <c r="E178" s="2" t="n">
        <v>2026</v>
      </c>
      <c r="F178" s="2" t="s">
        <v>699</v>
      </c>
      <c r="G178" s="2" t="s">
        <v>22</v>
      </c>
      <c r="H178" s="2" t="s">
        <v>700</v>
      </c>
      <c r="I178" s="2" t="s">
        <v>24</v>
      </c>
      <c r="J178" s="2"/>
      <c r="K178" s="2" t="s">
        <v>24</v>
      </c>
      <c r="L178" s="2"/>
      <c r="M178" s="2" t="s">
        <v>24</v>
      </c>
      <c r="N178" s="2" t="s">
        <v>25</v>
      </c>
      <c r="O178" s="2" t="s">
        <v>26</v>
      </c>
      <c r="P178" s="2"/>
      <c r="Q178" s="3"/>
      <c r="R178" s="3"/>
    </row>
    <row r="179" customFormat="false" ht="35.05" hidden="false" customHeight="false" outlineLevel="0" collapsed="false">
      <c r="A179" s="2" t="n">
        <v>178</v>
      </c>
      <c r="B179" s="2" t="s">
        <v>18</v>
      </c>
      <c r="C179" s="2" t="s">
        <v>701</v>
      </c>
      <c r="D179" s="2" t="s">
        <v>702</v>
      </c>
      <c r="E179" s="2" t="n">
        <v>2025</v>
      </c>
      <c r="F179" s="2" t="s">
        <v>703</v>
      </c>
      <c r="G179" s="2" t="s">
        <v>22</v>
      </c>
      <c r="H179" s="2" t="s">
        <v>704</v>
      </c>
      <c r="I179" s="2" t="s">
        <v>24</v>
      </c>
      <c r="J179" s="2"/>
      <c r="K179" s="2" t="s">
        <v>24</v>
      </c>
      <c r="L179" s="2"/>
      <c r="M179" s="2" t="s">
        <v>24</v>
      </c>
      <c r="N179" s="2" t="s">
        <v>35</v>
      </c>
      <c r="O179" s="2" t="s">
        <v>36</v>
      </c>
      <c r="P179" s="2"/>
      <c r="Q179" s="3"/>
      <c r="R179" s="3"/>
    </row>
    <row r="180" customFormat="false" ht="35.05" hidden="false" customHeight="false" outlineLevel="0" collapsed="false">
      <c r="A180" s="4" t="n">
        <v>179</v>
      </c>
      <c r="B180" s="4" t="s">
        <v>18</v>
      </c>
      <c r="C180" s="4" t="s">
        <v>705</v>
      </c>
      <c r="D180" s="4" t="s">
        <v>706</v>
      </c>
      <c r="E180" s="4" t="n">
        <v>2026</v>
      </c>
      <c r="F180" s="4" t="s">
        <v>707</v>
      </c>
      <c r="G180" s="4" t="s">
        <v>48</v>
      </c>
      <c r="H180" s="4" t="s">
        <v>708</v>
      </c>
      <c r="I180" s="4" t="s">
        <v>24</v>
      </c>
      <c r="J180" s="4"/>
      <c r="K180" s="4"/>
      <c r="L180" s="4" t="s">
        <v>24</v>
      </c>
      <c r="M180" s="4" t="s">
        <v>24</v>
      </c>
      <c r="N180" s="4" t="s">
        <v>35</v>
      </c>
      <c r="O180" s="4" t="s">
        <v>36</v>
      </c>
      <c r="P180" s="4" t="s">
        <v>107</v>
      </c>
      <c r="Q180" s="5"/>
      <c r="R180" s="5"/>
    </row>
    <row r="181" customFormat="false" ht="23.85" hidden="false" customHeight="false" outlineLevel="0" collapsed="false">
      <c r="A181" s="2" t="n">
        <v>180</v>
      </c>
      <c r="B181" s="2" t="s">
        <v>18</v>
      </c>
      <c r="C181" s="2" t="s">
        <v>709</v>
      </c>
      <c r="D181" s="2" t="s">
        <v>710</v>
      </c>
      <c r="E181" s="2" t="n">
        <v>2023</v>
      </c>
      <c r="F181" s="2" t="s">
        <v>186</v>
      </c>
      <c r="G181" s="2" t="s">
        <v>22</v>
      </c>
      <c r="H181" s="2" t="s">
        <v>711</v>
      </c>
      <c r="I181" s="2" t="s">
        <v>24</v>
      </c>
      <c r="J181" s="2"/>
      <c r="K181" s="2" t="s">
        <v>24</v>
      </c>
      <c r="L181" s="2"/>
      <c r="M181" s="2"/>
      <c r="N181" s="2" t="s">
        <v>158</v>
      </c>
      <c r="O181" s="2" t="s">
        <v>159</v>
      </c>
      <c r="P181" s="2"/>
      <c r="Q181" s="3"/>
      <c r="R181" s="3"/>
    </row>
    <row r="182" customFormat="false" ht="57.45" hidden="false" customHeight="false" outlineLevel="0" collapsed="false">
      <c r="A182" s="2" t="n">
        <v>181</v>
      </c>
      <c r="B182" s="2" t="s">
        <v>18</v>
      </c>
      <c r="C182" s="2" t="s">
        <v>712</v>
      </c>
      <c r="D182" s="2" t="s">
        <v>713</v>
      </c>
      <c r="E182" s="2" t="n">
        <v>2026</v>
      </c>
      <c r="F182" s="2" t="s">
        <v>714</v>
      </c>
      <c r="G182" s="2" t="s">
        <v>22</v>
      </c>
      <c r="H182" s="2" t="s">
        <v>715</v>
      </c>
      <c r="I182" s="2" t="s">
        <v>24</v>
      </c>
      <c r="J182" s="2"/>
      <c r="K182" s="2" t="s">
        <v>24</v>
      </c>
      <c r="L182" s="2"/>
      <c r="M182" s="2" t="s">
        <v>24</v>
      </c>
      <c r="N182" s="2" t="s">
        <v>158</v>
      </c>
      <c r="O182" s="2" t="s">
        <v>159</v>
      </c>
      <c r="P182" s="2"/>
      <c r="Q182" s="3"/>
      <c r="R182" s="3"/>
    </row>
    <row r="183" customFormat="false" ht="23.85" hidden="false" customHeight="false" outlineLevel="0" collapsed="false">
      <c r="A183" s="2" t="n">
        <v>182</v>
      </c>
      <c r="B183" s="2" t="s">
        <v>18</v>
      </c>
      <c r="C183" s="2" t="s">
        <v>716</v>
      </c>
      <c r="D183" s="2" t="s">
        <v>717</v>
      </c>
      <c r="E183" s="2" t="n">
        <v>2025</v>
      </c>
      <c r="F183" s="2" t="s">
        <v>468</v>
      </c>
      <c r="G183" s="2" t="s">
        <v>48</v>
      </c>
      <c r="H183" s="2" t="s">
        <v>718</v>
      </c>
      <c r="I183" s="2" t="s">
        <v>24</v>
      </c>
      <c r="J183" s="2"/>
      <c r="K183" s="2" t="s">
        <v>24</v>
      </c>
      <c r="L183" s="2"/>
      <c r="M183" s="2" t="s">
        <v>24</v>
      </c>
      <c r="N183" s="2" t="s">
        <v>35</v>
      </c>
      <c r="O183" s="2" t="s">
        <v>36</v>
      </c>
      <c r="P183" s="2"/>
      <c r="Q183" s="3"/>
      <c r="R183" s="3"/>
    </row>
    <row r="184" customFormat="false" ht="23.85" hidden="false" customHeight="false" outlineLevel="0" collapsed="false">
      <c r="A184" s="2" t="n">
        <v>183</v>
      </c>
      <c r="B184" s="2" t="s">
        <v>18</v>
      </c>
      <c r="C184" s="2" t="s">
        <v>719</v>
      </c>
      <c r="D184" s="2" t="s">
        <v>720</v>
      </c>
      <c r="E184" s="2" t="n">
        <v>2025</v>
      </c>
      <c r="F184" s="2" t="s">
        <v>721</v>
      </c>
      <c r="G184" s="2" t="s">
        <v>48</v>
      </c>
      <c r="H184" s="2" t="s">
        <v>722</v>
      </c>
      <c r="I184" s="2"/>
      <c r="J184" s="2" t="s">
        <v>24</v>
      </c>
      <c r="K184" s="2" t="s">
        <v>24</v>
      </c>
      <c r="L184" s="2"/>
      <c r="M184" s="2" t="s">
        <v>24</v>
      </c>
      <c r="N184" s="2" t="s">
        <v>35</v>
      </c>
      <c r="O184" s="2" t="s">
        <v>36</v>
      </c>
      <c r="P184" s="2"/>
      <c r="Q184" s="3"/>
      <c r="R184" s="3"/>
    </row>
    <row r="185" customFormat="false" ht="35.05" hidden="false" customHeight="false" outlineLevel="0" collapsed="false">
      <c r="A185" s="2" t="n">
        <v>184</v>
      </c>
      <c r="B185" s="2" t="s">
        <v>18</v>
      </c>
      <c r="C185" s="2" t="s">
        <v>723</v>
      </c>
      <c r="D185" s="2" t="s">
        <v>724</v>
      </c>
      <c r="E185" s="2" t="n">
        <v>2025</v>
      </c>
      <c r="F185" s="2" t="s">
        <v>725</v>
      </c>
      <c r="G185" s="2" t="s">
        <v>48</v>
      </c>
      <c r="H185" s="2" t="s">
        <v>726</v>
      </c>
      <c r="I185" s="2" t="s">
        <v>24</v>
      </c>
      <c r="J185" s="2"/>
      <c r="K185" s="2" t="s">
        <v>24</v>
      </c>
      <c r="L185" s="2"/>
      <c r="M185" s="2" t="s">
        <v>24</v>
      </c>
      <c r="N185" s="2" t="s">
        <v>35</v>
      </c>
      <c r="O185" s="2" t="s">
        <v>36</v>
      </c>
      <c r="P185" s="2"/>
      <c r="Q185" s="3"/>
      <c r="R185" s="3"/>
    </row>
    <row r="186" customFormat="false" ht="46.25" hidden="false" customHeight="false" outlineLevel="0" collapsed="false">
      <c r="A186" s="2" t="n">
        <v>185</v>
      </c>
      <c r="B186" s="2" t="s">
        <v>18</v>
      </c>
      <c r="C186" s="2" t="s">
        <v>727</v>
      </c>
      <c r="D186" s="2" t="s">
        <v>728</v>
      </c>
      <c r="E186" s="2" t="n">
        <v>2026</v>
      </c>
      <c r="F186" s="2" t="s">
        <v>729</v>
      </c>
      <c r="G186" s="2" t="s">
        <v>22</v>
      </c>
      <c r="H186" s="2" t="s">
        <v>730</v>
      </c>
      <c r="I186" s="2" t="s">
        <v>24</v>
      </c>
      <c r="J186" s="2"/>
      <c r="K186" s="2" t="s">
        <v>24</v>
      </c>
      <c r="L186" s="2"/>
      <c r="M186" s="2" t="s">
        <v>24</v>
      </c>
      <c r="N186" s="2" t="s">
        <v>35</v>
      </c>
      <c r="O186" s="2" t="s">
        <v>36</v>
      </c>
      <c r="P186" s="2"/>
      <c r="Q186" s="3"/>
      <c r="R186" s="3"/>
    </row>
    <row r="187" customFormat="false" ht="35.05" hidden="false" customHeight="false" outlineLevel="0" collapsed="false">
      <c r="A187" s="2" t="n">
        <v>186</v>
      </c>
      <c r="B187" s="2" t="s">
        <v>18</v>
      </c>
      <c r="C187" s="2" t="s">
        <v>731</v>
      </c>
      <c r="D187" s="2" t="s">
        <v>732</v>
      </c>
      <c r="E187" s="2" t="n">
        <v>2025</v>
      </c>
      <c r="F187" s="2" t="s">
        <v>549</v>
      </c>
      <c r="G187" s="2" t="s">
        <v>48</v>
      </c>
      <c r="H187" s="2" t="s">
        <v>733</v>
      </c>
      <c r="I187" s="2" t="s">
        <v>24</v>
      </c>
      <c r="J187" s="2" t="s">
        <v>24</v>
      </c>
      <c r="K187" s="2" t="s">
        <v>24</v>
      </c>
      <c r="L187" s="2"/>
      <c r="M187" s="2" t="s">
        <v>24</v>
      </c>
      <c r="N187" s="2" t="s">
        <v>35</v>
      </c>
      <c r="O187" s="2" t="s">
        <v>36</v>
      </c>
      <c r="P187" s="2"/>
      <c r="Q187" s="3"/>
      <c r="R187" s="3"/>
    </row>
    <row r="188" customFormat="false" ht="35.05" hidden="false" customHeight="false" outlineLevel="0" collapsed="false">
      <c r="A188" s="2" t="n">
        <v>187</v>
      </c>
      <c r="B188" s="2" t="s">
        <v>18</v>
      </c>
      <c r="C188" s="2" t="s">
        <v>734</v>
      </c>
      <c r="D188" s="2" t="s">
        <v>735</v>
      </c>
      <c r="E188" s="2" t="n">
        <v>2026</v>
      </c>
      <c r="F188" s="2" t="s">
        <v>85</v>
      </c>
      <c r="G188" s="2" t="s">
        <v>48</v>
      </c>
      <c r="H188" s="2" t="s">
        <v>736</v>
      </c>
      <c r="I188" s="2" t="s">
        <v>24</v>
      </c>
      <c r="J188" s="2"/>
      <c r="K188" s="2" t="s">
        <v>24</v>
      </c>
      <c r="L188" s="2"/>
      <c r="M188" s="2" t="s">
        <v>24</v>
      </c>
      <c r="N188" s="2" t="s">
        <v>35</v>
      </c>
      <c r="O188" s="2" t="s">
        <v>36</v>
      </c>
      <c r="P188" s="2"/>
      <c r="Q188" s="3"/>
      <c r="R188" s="3"/>
    </row>
    <row r="189" customFormat="false" ht="46.25" hidden="false" customHeight="false" outlineLevel="0" collapsed="false">
      <c r="A189" s="2" t="n">
        <v>188</v>
      </c>
      <c r="B189" s="2" t="s">
        <v>18</v>
      </c>
      <c r="C189" s="2" t="s">
        <v>737</v>
      </c>
      <c r="D189" s="2" t="s">
        <v>513</v>
      </c>
      <c r="E189" s="2" t="n">
        <v>2026</v>
      </c>
      <c r="F189" s="2" t="s">
        <v>260</v>
      </c>
      <c r="G189" s="2" t="s">
        <v>22</v>
      </c>
      <c r="H189" s="2" t="s">
        <v>738</v>
      </c>
      <c r="I189" s="2" t="s">
        <v>24</v>
      </c>
      <c r="J189" s="2"/>
      <c r="K189" s="2" t="s">
        <v>24</v>
      </c>
      <c r="L189" s="2"/>
      <c r="M189" s="2" t="s">
        <v>24</v>
      </c>
      <c r="N189" s="2" t="s">
        <v>35</v>
      </c>
      <c r="O189" s="2" t="s">
        <v>36</v>
      </c>
      <c r="P189" s="2"/>
      <c r="Q189" s="3"/>
      <c r="R189" s="3"/>
    </row>
    <row r="190" customFormat="false" ht="57.45" hidden="false" customHeight="false" outlineLevel="0" collapsed="false">
      <c r="A190" s="2" t="n">
        <v>189</v>
      </c>
      <c r="B190" s="2" t="s">
        <v>18</v>
      </c>
      <c r="C190" s="2" t="s">
        <v>739</v>
      </c>
      <c r="D190" s="2" t="s">
        <v>740</v>
      </c>
      <c r="E190" s="2" t="n">
        <v>2025</v>
      </c>
      <c r="F190" s="2" t="s">
        <v>741</v>
      </c>
      <c r="G190" s="2" t="s">
        <v>22</v>
      </c>
      <c r="H190" s="2" t="s">
        <v>742</v>
      </c>
      <c r="I190" s="2" t="s">
        <v>24</v>
      </c>
      <c r="J190" s="2"/>
      <c r="K190" s="2" t="s">
        <v>24</v>
      </c>
      <c r="L190" s="2"/>
      <c r="M190" s="2" t="s">
        <v>24</v>
      </c>
      <c r="N190" s="2" t="s">
        <v>35</v>
      </c>
      <c r="O190" s="2" t="s">
        <v>36</v>
      </c>
      <c r="P190" s="2"/>
      <c r="Q190" s="3"/>
      <c r="R190" s="3"/>
    </row>
    <row r="191" customFormat="false" ht="35.05" hidden="false" customHeight="false" outlineLevel="0" collapsed="false">
      <c r="A191" s="2" t="n">
        <v>190</v>
      </c>
      <c r="B191" s="2" t="s">
        <v>18</v>
      </c>
      <c r="C191" s="2" t="s">
        <v>743</v>
      </c>
      <c r="D191" s="2" t="s">
        <v>744</v>
      </c>
      <c r="E191" s="2" t="n">
        <v>2025</v>
      </c>
      <c r="F191" s="2" t="s">
        <v>745</v>
      </c>
      <c r="G191" s="2" t="s">
        <v>48</v>
      </c>
      <c r="H191" s="2" t="s">
        <v>746</v>
      </c>
      <c r="I191" s="2" t="s">
        <v>24</v>
      </c>
      <c r="J191" s="2"/>
      <c r="K191" s="2" t="s">
        <v>24</v>
      </c>
      <c r="L191" s="2"/>
      <c r="M191" s="2" t="s">
        <v>24</v>
      </c>
      <c r="N191" s="2" t="s">
        <v>25</v>
      </c>
      <c r="O191" s="2" t="s">
        <v>26</v>
      </c>
      <c r="P191" s="2"/>
      <c r="Q191" s="3"/>
      <c r="R191" s="3"/>
    </row>
    <row r="192" customFormat="false" ht="23.85" hidden="false" customHeight="false" outlineLevel="0" collapsed="false">
      <c r="A192" s="2" t="n">
        <v>191</v>
      </c>
      <c r="B192" s="2" t="s">
        <v>18</v>
      </c>
      <c r="C192" s="2" t="s">
        <v>747</v>
      </c>
      <c r="D192" s="2" t="s">
        <v>748</v>
      </c>
      <c r="E192" s="2" t="n">
        <v>2026</v>
      </c>
      <c r="F192" s="2" t="s">
        <v>380</v>
      </c>
      <c r="G192" s="2" t="s">
        <v>48</v>
      </c>
      <c r="H192" s="2" t="s">
        <v>749</v>
      </c>
      <c r="I192" s="2" t="s">
        <v>24</v>
      </c>
      <c r="J192" s="2"/>
      <c r="K192" s="2" t="s">
        <v>24</v>
      </c>
      <c r="L192" s="2"/>
      <c r="M192" s="2"/>
      <c r="N192" s="2" t="s">
        <v>35</v>
      </c>
      <c r="O192" s="2" t="s">
        <v>36</v>
      </c>
      <c r="P192" s="2"/>
      <c r="Q192" s="3"/>
      <c r="R192" s="3"/>
    </row>
    <row r="193" customFormat="false" ht="23.85" hidden="false" customHeight="false" outlineLevel="0" collapsed="false">
      <c r="A193" s="2" t="n">
        <v>192</v>
      </c>
      <c r="B193" s="2" t="s">
        <v>18</v>
      </c>
      <c r="C193" s="2" t="s">
        <v>750</v>
      </c>
      <c r="D193" s="2" t="s">
        <v>751</v>
      </c>
      <c r="E193" s="2" t="n">
        <v>2026</v>
      </c>
      <c r="F193" s="2" t="s">
        <v>752</v>
      </c>
      <c r="G193" s="2" t="s">
        <v>22</v>
      </c>
      <c r="H193" s="2" t="s">
        <v>753</v>
      </c>
      <c r="I193" s="2"/>
      <c r="J193" s="2" t="s">
        <v>24</v>
      </c>
      <c r="K193" s="2" t="s">
        <v>24</v>
      </c>
      <c r="L193" s="2"/>
      <c r="M193" s="2"/>
      <c r="N193" s="2" t="s">
        <v>35</v>
      </c>
      <c r="O193" s="2" t="s">
        <v>36</v>
      </c>
      <c r="P193" s="2"/>
      <c r="Q193" s="3"/>
      <c r="R193" s="3"/>
    </row>
    <row r="194" customFormat="false" ht="35.05" hidden="false" customHeight="false" outlineLevel="0" collapsed="false">
      <c r="A194" s="2" t="n">
        <v>193</v>
      </c>
      <c r="B194" s="2" t="s">
        <v>18</v>
      </c>
      <c r="C194" s="2" t="s">
        <v>754</v>
      </c>
      <c r="D194" s="2" t="s">
        <v>755</v>
      </c>
      <c r="E194" s="2" t="n">
        <v>2026</v>
      </c>
      <c r="F194" s="2" t="s">
        <v>756</v>
      </c>
      <c r="G194" s="2" t="s">
        <v>48</v>
      </c>
      <c r="H194" s="2" t="s">
        <v>757</v>
      </c>
      <c r="I194" s="2" t="s">
        <v>24</v>
      </c>
      <c r="J194" s="2" t="s">
        <v>24</v>
      </c>
      <c r="K194" s="2" t="s">
        <v>24</v>
      </c>
      <c r="L194" s="2"/>
      <c r="M194" s="2"/>
      <c r="N194" s="2" t="s">
        <v>35</v>
      </c>
      <c r="O194" s="2" t="s">
        <v>36</v>
      </c>
      <c r="P194" s="2"/>
      <c r="Q194" s="3"/>
      <c r="R194" s="3"/>
    </row>
    <row r="195" customFormat="false" ht="23.85" hidden="false" customHeight="false" outlineLevel="0" collapsed="false">
      <c r="A195" s="2" t="n">
        <v>194</v>
      </c>
      <c r="B195" s="2" t="s">
        <v>18</v>
      </c>
      <c r="C195" s="2" t="s">
        <v>758</v>
      </c>
      <c r="D195" s="2" t="s">
        <v>759</v>
      </c>
      <c r="E195" s="2" t="n">
        <v>2026</v>
      </c>
      <c r="F195" s="2" t="s">
        <v>760</v>
      </c>
      <c r="G195" s="2" t="s">
        <v>48</v>
      </c>
      <c r="H195" s="2" t="s">
        <v>761</v>
      </c>
      <c r="I195" s="2" t="s">
        <v>24</v>
      </c>
      <c r="J195" s="2"/>
      <c r="K195" s="2" t="s">
        <v>24</v>
      </c>
      <c r="L195" s="2"/>
      <c r="M195" s="2"/>
      <c r="N195" s="2" t="s">
        <v>25</v>
      </c>
      <c r="O195" s="2" t="s">
        <v>26</v>
      </c>
      <c r="P195" s="2"/>
      <c r="Q195" s="3"/>
      <c r="R195" s="3"/>
    </row>
    <row r="196" customFormat="false" ht="46.25" hidden="false" customHeight="false" outlineLevel="0" collapsed="false">
      <c r="A196" s="2" t="n">
        <v>195</v>
      </c>
      <c r="B196" s="2" t="s">
        <v>18</v>
      </c>
      <c r="C196" s="2" t="s">
        <v>762</v>
      </c>
      <c r="D196" s="2" t="s">
        <v>763</v>
      </c>
      <c r="E196" s="2" t="n">
        <v>2026</v>
      </c>
      <c r="F196" s="2" t="s">
        <v>93</v>
      </c>
      <c r="G196" s="2" t="s">
        <v>22</v>
      </c>
      <c r="H196" s="2" t="s">
        <v>764</v>
      </c>
      <c r="I196" s="2" t="s">
        <v>24</v>
      </c>
      <c r="J196" s="2"/>
      <c r="K196" s="2" t="s">
        <v>24</v>
      </c>
      <c r="L196" s="2"/>
      <c r="M196" s="2"/>
      <c r="N196" s="2" t="s">
        <v>25</v>
      </c>
      <c r="O196" s="2" t="s">
        <v>26</v>
      </c>
      <c r="P196" s="2"/>
      <c r="Q196" s="3"/>
      <c r="R196" s="3"/>
    </row>
    <row r="197" customFormat="false" ht="68.65" hidden="false" customHeight="false" outlineLevel="0" collapsed="false">
      <c r="A197" s="2" t="n">
        <v>196</v>
      </c>
      <c r="B197" s="2" t="s">
        <v>18</v>
      </c>
      <c r="C197" s="2" t="s">
        <v>765</v>
      </c>
      <c r="D197" s="2" t="s">
        <v>766</v>
      </c>
      <c r="E197" s="2" t="n">
        <v>2026</v>
      </c>
      <c r="F197" s="2" t="s">
        <v>209</v>
      </c>
      <c r="G197" s="2" t="s">
        <v>22</v>
      </c>
      <c r="H197" s="2" t="s">
        <v>767</v>
      </c>
      <c r="I197" s="2" t="s">
        <v>24</v>
      </c>
      <c r="J197" s="2"/>
      <c r="K197" s="2" t="s">
        <v>24</v>
      </c>
      <c r="L197" s="2"/>
      <c r="M197" s="2"/>
      <c r="N197" s="2" t="s">
        <v>25</v>
      </c>
      <c r="O197" s="2" t="s">
        <v>26</v>
      </c>
      <c r="P197" s="2"/>
      <c r="Q197" s="3"/>
      <c r="R197" s="3"/>
    </row>
    <row r="198" customFormat="false" ht="23.85" hidden="false" customHeight="false" outlineLevel="0" collapsed="false">
      <c r="A198" s="2" t="n">
        <v>197</v>
      </c>
      <c r="B198" s="2" t="s">
        <v>18</v>
      </c>
      <c r="C198" s="2" t="s">
        <v>768</v>
      </c>
      <c r="D198" s="2" t="s">
        <v>769</v>
      </c>
      <c r="E198" s="2" t="n">
        <v>2025</v>
      </c>
      <c r="F198" s="2" t="s">
        <v>770</v>
      </c>
      <c r="G198" s="2" t="s">
        <v>22</v>
      </c>
      <c r="H198" s="2" t="s">
        <v>771</v>
      </c>
      <c r="I198" s="2" t="s">
        <v>24</v>
      </c>
      <c r="J198" s="2"/>
      <c r="K198" s="2" t="s">
        <v>24</v>
      </c>
      <c r="L198" s="2"/>
      <c r="M198" s="2"/>
      <c r="N198" s="2" t="s">
        <v>35</v>
      </c>
      <c r="O198" s="2" t="s">
        <v>36</v>
      </c>
      <c r="P198" s="2"/>
      <c r="Q198" s="3"/>
      <c r="R198" s="3"/>
    </row>
    <row r="199" customFormat="false" ht="46.25" hidden="false" customHeight="false" outlineLevel="0" collapsed="false">
      <c r="A199" s="2" t="n">
        <v>198</v>
      </c>
      <c r="B199" s="2" t="s">
        <v>18</v>
      </c>
      <c r="C199" s="2" t="s">
        <v>772</v>
      </c>
      <c r="D199" s="2" t="s">
        <v>773</v>
      </c>
      <c r="E199" s="2" t="n">
        <v>2026</v>
      </c>
      <c r="F199" s="2" t="s">
        <v>774</v>
      </c>
      <c r="G199" s="2" t="s">
        <v>22</v>
      </c>
      <c r="H199" s="2" t="s">
        <v>775</v>
      </c>
      <c r="I199" s="2" t="s">
        <v>24</v>
      </c>
      <c r="J199" s="2"/>
      <c r="K199" s="2" t="s">
        <v>24</v>
      </c>
      <c r="L199" s="2"/>
      <c r="M199" s="2" t="s">
        <v>24</v>
      </c>
      <c r="N199" s="2" t="s">
        <v>35</v>
      </c>
      <c r="O199" s="2" t="s">
        <v>36</v>
      </c>
      <c r="P199" s="2"/>
      <c r="Q199" s="3"/>
      <c r="R199" s="3"/>
    </row>
    <row r="200" customFormat="false" ht="23.85" hidden="false" customHeight="false" outlineLevel="0" collapsed="false">
      <c r="A200" s="2" t="n">
        <v>199</v>
      </c>
      <c r="B200" s="2" t="s">
        <v>18</v>
      </c>
      <c r="C200" s="2" t="s">
        <v>776</v>
      </c>
      <c r="D200" s="2" t="s">
        <v>777</v>
      </c>
      <c r="E200" s="2" t="n">
        <v>2025</v>
      </c>
      <c r="F200" s="2" t="s">
        <v>778</v>
      </c>
      <c r="G200" s="2" t="s">
        <v>48</v>
      </c>
      <c r="H200" s="2" t="s">
        <v>779</v>
      </c>
      <c r="I200" s="2"/>
      <c r="J200" s="2"/>
      <c r="K200" s="2" t="s">
        <v>24</v>
      </c>
      <c r="L200" s="2"/>
      <c r="M200" s="2" t="s">
        <v>24</v>
      </c>
      <c r="N200" s="2" t="s">
        <v>128</v>
      </c>
      <c r="O200" s="2" t="s">
        <v>129</v>
      </c>
      <c r="P200" s="2"/>
      <c r="Q200" s="3"/>
      <c r="R200" s="3"/>
    </row>
    <row r="201" customFormat="false" ht="46.25" hidden="false" customHeight="false" outlineLevel="0" collapsed="false">
      <c r="A201" s="2" t="n">
        <v>200</v>
      </c>
      <c r="B201" s="2" t="s">
        <v>18</v>
      </c>
      <c r="C201" s="2" t="s">
        <v>780</v>
      </c>
      <c r="D201" s="2" t="s">
        <v>781</v>
      </c>
      <c r="E201" s="2" t="n">
        <v>2026</v>
      </c>
      <c r="F201" s="2" t="s">
        <v>782</v>
      </c>
      <c r="G201" s="2" t="s">
        <v>22</v>
      </c>
      <c r="H201" s="2" t="s">
        <v>783</v>
      </c>
      <c r="I201" s="2" t="s">
        <v>24</v>
      </c>
      <c r="J201" s="2"/>
      <c r="K201" s="2" t="s">
        <v>24</v>
      </c>
      <c r="L201" s="2"/>
      <c r="M201" s="2" t="s">
        <v>24</v>
      </c>
      <c r="N201" s="2" t="s">
        <v>35</v>
      </c>
      <c r="O201" s="2" t="s">
        <v>36</v>
      </c>
      <c r="P201" s="2"/>
      <c r="Q201" s="3"/>
      <c r="R201" s="3"/>
    </row>
    <row r="202" customFormat="false" ht="35.05" hidden="false" customHeight="false" outlineLevel="0" collapsed="false">
      <c r="A202" s="2" t="n">
        <v>201</v>
      </c>
      <c r="B202" s="2" t="s">
        <v>18</v>
      </c>
      <c r="C202" s="2" t="s">
        <v>784</v>
      </c>
      <c r="D202" s="2" t="s">
        <v>785</v>
      </c>
      <c r="E202" s="2" t="n">
        <v>2026</v>
      </c>
      <c r="F202" s="2" t="s">
        <v>786</v>
      </c>
      <c r="G202" s="2" t="s">
        <v>48</v>
      </c>
      <c r="H202" s="2" t="s">
        <v>787</v>
      </c>
      <c r="I202" s="2" t="s">
        <v>24</v>
      </c>
      <c r="J202" s="2"/>
      <c r="K202" s="2" t="s">
        <v>24</v>
      </c>
      <c r="L202" s="2"/>
      <c r="M202" s="2" t="s">
        <v>24</v>
      </c>
      <c r="N202" s="2" t="s">
        <v>158</v>
      </c>
      <c r="O202" s="2" t="s">
        <v>159</v>
      </c>
      <c r="P202" s="2"/>
      <c r="Q202" s="3"/>
      <c r="R202" s="3"/>
    </row>
    <row r="203" customFormat="false" ht="57.45" hidden="false" customHeight="false" outlineLevel="0" collapsed="false">
      <c r="A203" s="2" t="n">
        <v>202</v>
      </c>
      <c r="B203" s="2" t="s">
        <v>18</v>
      </c>
      <c r="C203" s="2" t="s">
        <v>788</v>
      </c>
      <c r="D203" s="2" t="s">
        <v>789</v>
      </c>
      <c r="E203" s="2" t="n">
        <v>2025</v>
      </c>
      <c r="F203" s="2" t="s">
        <v>790</v>
      </c>
      <c r="G203" s="2" t="s">
        <v>22</v>
      </c>
      <c r="H203" s="2" t="s">
        <v>791</v>
      </c>
      <c r="I203" s="2" t="s">
        <v>24</v>
      </c>
      <c r="J203" s="2" t="s">
        <v>24</v>
      </c>
      <c r="K203" s="2" t="s">
        <v>24</v>
      </c>
      <c r="L203" s="2"/>
      <c r="M203" s="2" t="s">
        <v>24</v>
      </c>
      <c r="N203" s="2" t="s">
        <v>122</v>
      </c>
      <c r="O203" s="2" t="s">
        <v>792</v>
      </c>
      <c r="P203" s="2"/>
      <c r="Q203" s="3"/>
      <c r="R203" s="3"/>
    </row>
    <row r="204" customFormat="false" ht="23.85" hidden="false" customHeight="false" outlineLevel="0" collapsed="false">
      <c r="A204" s="2" t="n">
        <v>203</v>
      </c>
      <c r="B204" s="2" t="s">
        <v>18</v>
      </c>
      <c r="C204" s="2" t="s">
        <v>793</v>
      </c>
      <c r="D204" s="2" t="s">
        <v>794</v>
      </c>
      <c r="E204" s="2" t="n">
        <v>2026</v>
      </c>
      <c r="F204" s="2" t="s">
        <v>795</v>
      </c>
      <c r="G204" s="2" t="s">
        <v>22</v>
      </c>
      <c r="H204" s="2" t="s">
        <v>796</v>
      </c>
      <c r="I204" s="2" t="s">
        <v>24</v>
      </c>
      <c r="J204" s="2"/>
      <c r="K204" s="2" t="s">
        <v>24</v>
      </c>
      <c r="L204" s="2"/>
      <c r="M204" s="2" t="s">
        <v>24</v>
      </c>
      <c r="N204" s="2" t="s">
        <v>35</v>
      </c>
      <c r="O204" s="2" t="s">
        <v>36</v>
      </c>
      <c r="P204" s="2"/>
      <c r="Q204" s="3"/>
      <c r="R204" s="3"/>
    </row>
    <row r="205" customFormat="false" ht="23.85" hidden="false" customHeight="false" outlineLevel="0" collapsed="false">
      <c r="A205" s="2" t="n">
        <v>204</v>
      </c>
      <c r="B205" s="2" t="s">
        <v>18</v>
      </c>
      <c r="C205" s="2" t="s">
        <v>797</v>
      </c>
      <c r="D205" s="2" t="s">
        <v>798</v>
      </c>
      <c r="E205" s="2" t="n">
        <v>2025</v>
      </c>
      <c r="F205" s="2" t="s">
        <v>799</v>
      </c>
      <c r="G205" s="2" t="s">
        <v>48</v>
      </c>
      <c r="H205" s="2" t="s">
        <v>800</v>
      </c>
      <c r="I205" s="2" t="s">
        <v>24</v>
      </c>
      <c r="J205" s="2" t="s">
        <v>24</v>
      </c>
      <c r="K205" s="2" t="s">
        <v>24</v>
      </c>
      <c r="L205" s="2"/>
      <c r="M205" s="2"/>
      <c r="N205" s="2" t="s">
        <v>35</v>
      </c>
      <c r="O205" s="2" t="s">
        <v>36</v>
      </c>
      <c r="P205" s="2"/>
      <c r="Q205" s="3"/>
      <c r="R205" s="3"/>
    </row>
    <row r="206" customFormat="false" ht="35.05" hidden="false" customHeight="false" outlineLevel="0" collapsed="false">
      <c r="A206" s="2" t="n">
        <v>205</v>
      </c>
      <c r="B206" s="2" t="s">
        <v>18</v>
      </c>
      <c r="C206" s="2" t="s">
        <v>801</v>
      </c>
      <c r="D206" s="2" t="s">
        <v>802</v>
      </c>
      <c r="E206" s="2" t="n">
        <v>2025</v>
      </c>
      <c r="F206" s="2" t="s">
        <v>803</v>
      </c>
      <c r="G206" s="2" t="s">
        <v>22</v>
      </c>
      <c r="H206" s="2" t="s">
        <v>804</v>
      </c>
      <c r="I206" s="2" t="s">
        <v>24</v>
      </c>
      <c r="J206" s="2"/>
      <c r="K206" s="2" t="s">
        <v>24</v>
      </c>
      <c r="L206" s="2"/>
      <c r="M206" s="2" t="s">
        <v>24</v>
      </c>
      <c r="N206" s="2" t="s">
        <v>25</v>
      </c>
      <c r="O206" s="2" t="s">
        <v>26</v>
      </c>
      <c r="P206" s="2"/>
      <c r="Q206" s="3"/>
      <c r="R206" s="3"/>
    </row>
    <row r="207" customFormat="false" ht="23.85" hidden="false" customHeight="false" outlineLevel="0" collapsed="false">
      <c r="A207" s="2" t="n">
        <v>206</v>
      </c>
      <c r="B207" s="2" t="s">
        <v>18</v>
      </c>
      <c r="C207" s="2" t="s">
        <v>805</v>
      </c>
      <c r="D207" s="2" t="s">
        <v>806</v>
      </c>
      <c r="E207" s="2" t="n">
        <v>2026</v>
      </c>
      <c r="F207" s="2" t="s">
        <v>807</v>
      </c>
      <c r="G207" s="2" t="s">
        <v>48</v>
      </c>
      <c r="H207" s="2" t="s">
        <v>808</v>
      </c>
      <c r="I207" s="2" t="s">
        <v>24</v>
      </c>
      <c r="J207" s="2"/>
      <c r="K207" s="2" t="s">
        <v>24</v>
      </c>
      <c r="L207" s="2"/>
      <c r="M207" s="2" t="s">
        <v>24</v>
      </c>
      <c r="N207" s="2" t="s">
        <v>35</v>
      </c>
      <c r="O207" s="2" t="s">
        <v>36</v>
      </c>
      <c r="P207" s="2"/>
      <c r="Q207" s="3"/>
      <c r="R207" s="3"/>
    </row>
    <row r="208" customFormat="false" ht="46.25" hidden="false" customHeight="false" outlineLevel="0" collapsed="false">
      <c r="A208" s="2" t="n">
        <v>207</v>
      </c>
      <c r="B208" s="2" t="s">
        <v>18</v>
      </c>
      <c r="C208" s="2" t="s">
        <v>809</v>
      </c>
      <c r="D208" s="2" t="s">
        <v>810</v>
      </c>
      <c r="E208" s="2" t="n">
        <v>2025</v>
      </c>
      <c r="F208" s="2" t="s">
        <v>811</v>
      </c>
      <c r="G208" s="2" t="s">
        <v>22</v>
      </c>
      <c r="H208" s="2" t="s">
        <v>812</v>
      </c>
      <c r="I208" s="2" t="s">
        <v>24</v>
      </c>
      <c r="J208" s="2"/>
      <c r="K208" s="2" t="s">
        <v>24</v>
      </c>
      <c r="L208" s="2"/>
      <c r="M208" s="2"/>
      <c r="N208" s="2" t="s">
        <v>35</v>
      </c>
      <c r="O208" s="2" t="s">
        <v>36</v>
      </c>
      <c r="P208" s="2"/>
      <c r="Q208" s="3"/>
      <c r="R208" s="3"/>
    </row>
    <row r="209" customFormat="false" ht="23.85" hidden="false" customHeight="false" outlineLevel="0" collapsed="false">
      <c r="A209" s="2" t="n">
        <v>208</v>
      </c>
      <c r="B209" s="2" t="s">
        <v>18</v>
      </c>
      <c r="C209" s="2" t="s">
        <v>813</v>
      </c>
      <c r="D209" s="2" t="s">
        <v>814</v>
      </c>
      <c r="E209" s="2" t="n">
        <v>2026</v>
      </c>
      <c r="F209" s="2" t="s">
        <v>186</v>
      </c>
      <c r="G209" s="2" t="s">
        <v>22</v>
      </c>
      <c r="H209" s="2" t="s">
        <v>815</v>
      </c>
      <c r="I209" s="2" t="s">
        <v>24</v>
      </c>
      <c r="J209" s="2"/>
      <c r="K209" s="2" t="s">
        <v>24</v>
      </c>
      <c r="L209" s="2"/>
      <c r="M209" s="2" t="s">
        <v>24</v>
      </c>
      <c r="N209" s="2" t="s">
        <v>25</v>
      </c>
      <c r="O209" s="2" t="s">
        <v>26</v>
      </c>
      <c r="P209" s="2"/>
      <c r="Q209" s="3"/>
      <c r="R209" s="3"/>
    </row>
    <row r="210" customFormat="false" ht="46.25" hidden="false" customHeight="false" outlineLevel="0" collapsed="false">
      <c r="A210" s="2" t="n">
        <v>209</v>
      </c>
      <c r="B210" s="2" t="s">
        <v>18</v>
      </c>
      <c r="C210" s="2" t="s">
        <v>816</v>
      </c>
      <c r="D210" s="2" t="s">
        <v>817</v>
      </c>
      <c r="E210" s="2" t="n">
        <v>2025</v>
      </c>
      <c r="F210" s="2" t="s">
        <v>818</v>
      </c>
      <c r="G210" s="2" t="s">
        <v>22</v>
      </c>
      <c r="H210" s="2" t="s">
        <v>819</v>
      </c>
      <c r="I210" s="2"/>
      <c r="J210" s="2" t="s">
        <v>24</v>
      </c>
      <c r="K210" s="2" t="s">
        <v>24</v>
      </c>
      <c r="L210" s="2"/>
      <c r="M210" s="2"/>
      <c r="N210" s="2" t="s">
        <v>35</v>
      </c>
      <c r="O210" s="2" t="s">
        <v>36</v>
      </c>
      <c r="P210" s="2"/>
      <c r="Q210" s="3"/>
      <c r="R210" s="3"/>
    </row>
    <row r="211" customFormat="false" ht="23.85" hidden="false" customHeight="false" outlineLevel="0" collapsed="false">
      <c r="A211" s="4" t="n">
        <v>210</v>
      </c>
      <c r="B211" s="4" t="s">
        <v>18</v>
      </c>
      <c r="C211" s="4" t="s">
        <v>820</v>
      </c>
      <c r="D211" s="4" t="s">
        <v>821</v>
      </c>
      <c r="E211" s="4" t="n">
        <v>2026</v>
      </c>
      <c r="F211" s="4" t="s">
        <v>822</v>
      </c>
      <c r="G211" s="4" t="s">
        <v>48</v>
      </c>
      <c r="H211" s="4" t="s">
        <v>823</v>
      </c>
      <c r="I211" s="4" t="s">
        <v>24</v>
      </c>
      <c r="J211" s="4" t="s">
        <v>24</v>
      </c>
      <c r="K211" s="4" t="s">
        <v>24</v>
      </c>
      <c r="L211" s="4"/>
      <c r="M211" s="4" t="s">
        <v>24</v>
      </c>
      <c r="N211" s="4" t="s">
        <v>35</v>
      </c>
      <c r="O211" s="4" t="s">
        <v>36</v>
      </c>
      <c r="P211" s="4" t="s">
        <v>107</v>
      </c>
      <c r="Q211" s="5"/>
      <c r="R211" s="5"/>
    </row>
    <row r="212" customFormat="false" ht="23.85" hidden="false" customHeight="false" outlineLevel="0" collapsed="false">
      <c r="A212" s="2" t="n">
        <v>211</v>
      </c>
      <c r="B212" s="2" t="s">
        <v>18</v>
      </c>
      <c r="C212" s="2" t="s">
        <v>824</v>
      </c>
      <c r="D212" s="2" t="s">
        <v>825</v>
      </c>
      <c r="E212" s="2" t="n">
        <v>2026</v>
      </c>
      <c r="F212" s="2" t="s">
        <v>770</v>
      </c>
      <c r="G212" s="2" t="s">
        <v>22</v>
      </c>
      <c r="H212" s="2" t="s">
        <v>826</v>
      </c>
      <c r="I212" s="2" t="s">
        <v>24</v>
      </c>
      <c r="J212" s="2"/>
      <c r="K212" s="2" t="s">
        <v>24</v>
      </c>
      <c r="L212" s="2"/>
      <c r="M212" s="2" t="s">
        <v>24</v>
      </c>
      <c r="N212" s="2" t="s">
        <v>35</v>
      </c>
      <c r="O212" s="2" t="s">
        <v>36</v>
      </c>
      <c r="P212" s="2"/>
      <c r="Q212" s="3"/>
      <c r="R212" s="3"/>
    </row>
    <row r="213" customFormat="false" ht="46.25" hidden="false" customHeight="false" outlineLevel="0" collapsed="false">
      <c r="A213" s="2" t="n">
        <v>212</v>
      </c>
      <c r="B213" s="2" t="s">
        <v>18</v>
      </c>
      <c r="C213" s="2" t="s">
        <v>827</v>
      </c>
      <c r="D213" s="2" t="s">
        <v>828</v>
      </c>
      <c r="E213" s="2" t="n">
        <v>2026</v>
      </c>
      <c r="F213" s="2" t="s">
        <v>829</v>
      </c>
      <c r="G213" s="2" t="s">
        <v>22</v>
      </c>
      <c r="H213" s="2" t="s">
        <v>830</v>
      </c>
      <c r="I213" s="2" t="s">
        <v>24</v>
      </c>
      <c r="J213" s="2"/>
      <c r="K213" s="2" t="s">
        <v>24</v>
      </c>
      <c r="L213" s="2"/>
      <c r="M213" s="2"/>
      <c r="N213" s="2" t="s">
        <v>25</v>
      </c>
      <c r="O213" s="2" t="s">
        <v>26</v>
      </c>
      <c r="P213" s="2"/>
      <c r="Q213" s="3"/>
      <c r="R213" s="3"/>
    </row>
    <row r="214" customFormat="false" ht="35.05" hidden="false" customHeight="false" outlineLevel="0" collapsed="false">
      <c r="A214" s="2" t="n">
        <v>213</v>
      </c>
      <c r="B214" s="2" t="s">
        <v>18</v>
      </c>
      <c r="C214" s="2" t="s">
        <v>831</v>
      </c>
      <c r="D214" s="2" t="s">
        <v>832</v>
      </c>
      <c r="E214" s="2" t="n">
        <v>2025</v>
      </c>
      <c r="F214" s="2" t="s">
        <v>833</v>
      </c>
      <c r="G214" s="2" t="s">
        <v>48</v>
      </c>
      <c r="H214" s="2" t="s">
        <v>834</v>
      </c>
      <c r="I214" s="2" t="s">
        <v>24</v>
      </c>
      <c r="J214" s="2"/>
      <c r="K214" s="2" t="s">
        <v>24</v>
      </c>
      <c r="L214" s="2"/>
      <c r="M214" s="2" t="s">
        <v>24</v>
      </c>
      <c r="N214" s="2" t="s">
        <v>35</v>
      </c>
      <c r="O214" s="2" t="s">
        <v>36</v>
      </c>
      <c r="P214" s="2"/>
      <c r="Q214" s="3"/>
      <c r="R214" s="3"/>
    </row>
    <row r="215" customFormat="false" ht="57.45" hidden="false" customHeight="false" outlineLevel="0" collapsed="false">
      <c r="A215" s="2" t="n">
        <v>214</v>
      </c>
      <c r="B215" s="2" t="s">
        <v>18</v>
      </c>
      <c r="C215" s="2" t="s">
        <v>835</v>
      </c>
      <c r="D215" s="2" t="s">
        <v>836</v>
      </c>
      <c r="E215" s="2" t="n">
        <v>2026</v>
      </c>
      <c r="F215" s="2" t="s">
        <v>475</v>
      </c>
      <c r="G215" s="2" t="s">
        <v>22</v>
      </c>
      <c r="H215" s="2" t="s">
        <v>837</v>
      </c>
      <c r="I215" s="2" t="s">
        <v>24</v>
      </c>
      <c r="J215" s="2"/>
      <c r="K215" s="2" t="s">
        <v>24</v>
      </c>
      <c r="L215" s="2"/>
      <c r="M215" s="2" t="s">
        <v>24</v>
      </c>
      <c r="N215" s="2" t="s">
        <v>35</v>
      </c>
      <c r="O215" s="2" t="s">
        <v>36</v>
      </c>
      <c r="P215" s="2"/>
      <c r="Q215" s="3"/>
      <c r="R215" s="3"/>
    </row>
    <row r="216" customFormat="false" ht="23.85" hidden="false" customHeight="false" outlineLevel="0" collapsed="false">
      <c r="A216" s="2" t="n">
        <v>215</v>
      </c>
      <c r="B216" s="2" t="s">
        <v>18</v>
      </c>
      <c r="C216" s="2" t="s">
        <v>838</v>
      </c>
      <c r="D216" s="2" t="s">
        <v>839</v>
      </c>
      <c r="E216" s="2" t="n">
        <v>2026</v>
      </c>
      <c r="F216" s="2" t="s">
        <v>840</v>
      </c>
      <c r="G216" s="2" t="s">
        <v>48</v>
      </c>
      <c r="H216" s="2" t="s">
        <v>841</v>
      </c>
      <c r="I216" s="2" t="s">
        <v>24</v>
      </c>
      <c r="J216" s="2"/>
      <c r="K216" s="2" t="s">
        <v>24</v>
      </c>
      <c r="L216" s="2"/>
      <c r="M216" s="2" t="s">
        <v>24</v>
      </c>
      <c r="N216" s="2" t="s">
        <v>35</v>
      </c>
      <c r="O216" s="2" t="s">
        <v>36</v>
      </c>
      <c r="P216" s="2"/>
      <c r="Q216" s="3"/>
      <c r="R216" s="3"/>
    </row>
    <row r="217" customFormat="false" ht="46.25" hidden="false" customHeight="false" outlineLevel="0" collapsed="false">
      <c r="A217" s="2" t="n">
        <v>216</v>
      </c>
      <c r="B217" s="2" t="s">
        <v>18</v>
      </c>
      <c r="C217" s="2" t="s">
        <v>842</v>
      </c>
      <c r="D217" s="2" t="s">
        <v>843</v>
      </c>
      <c r="E217" s="2" t="n">
        <v>2026</v>
      </c>
      <c r="F217" s="2" t="s">
        <v>553</v>
      </c>
      <c r="G217" s="2" t="s">
        <v>22</v>
      </c>
      <c r="H217" s="2"/>
      <c r="I217" s="2" t="s">
        <v>24</v>
      </c>
      <c r="J217" s="2"/>
      <c r="K217" s="2" t="s">
        <v>24</v>
      </c>
      <c r="L217" s="2"/>
      <c r="M217" s="2" t="s">
        <v>24</v>
      </c>
      <c r="N217" s="2" t="s">
        <v>25</v>
      </c>
      <c r="O217" s="2" t="s">
        <v>26</v>
      </c>
      <c r="P217" s="2"/>
      <c r="Q217" s="3"/>
      <c r="R217" s="3"/>
    </row>
    <row r="218" customFormat="false" ht="57.45" hidden="false" customHeight="false" outlineLevel="0" collapsed="false">
      <c r="A218" s="2" t="n">
        <v>217</v>
      </c>
      <c r="B218" s="2" t="s">
        <v>18</v>
      </c>
      <c r="C218" s="2" t="s">
        <v>844</v>
      </c>
      <c r="D218" s="2" t="s">
        <v>845</v>
      </c>
      <c r="E218" s="2" t="n">
        <v>2026</v>
      </c>
      <c r="F218" s="2" t="s">
        <v>846</v>
      </c>
      <c r="G218" s="2" t="s">
        <v>22</v>
      </c>
      <c r="H218" s="2" t="s">
        <v>847</v>
      </c>
      <c r="I218" s="2" t="s">
        <v>24</v>
      </c>
      <c r="J218" s="2"/>
      <c r="K218" s="2" t="s">
        <v>24</v>
      </c>
      <c r="L218" s="2"/>
      <c r="M218" s="2" t="s">
        <v>24</v>
      </c>
      <c r="N218" s="2" t="s">
        <v>35</v>
      </c>
      <c r="O218" s="2" t="s">
        <v>36</v>
      </c>
      <c r="P218" s="2"/>
      <c r="Q218" s="3"/>
      <c r="R218" s="3"/>
    </row>
    <row r="219" customFormat="false" ht="46.25" hidden="false" customHeight="false" outlineLevel="0" collapsed="false">
      <c r="A219" s="2" t="n">
        <v>218</v>
      </c>
      <c r="B219" s="2" t="s">
        <v>18</v>
      </c>
      <c r="C219" s="2" t="s">
        <v>848</v>
      </c>
      <c r="D219" s="2" t="s">
        <v>849</v>
      </c>
      <c r="E219" s="2" t="n">
        <v>2026</v>
      </c>
      <c r="F219" s="2" t="s">
        <v>850</v>
      </c>
      <c r="G219" s="2" t="s">
        <v>22</v>
      </c>
      <c r="H219" s="2" t="s">
        <v>851</v>
      </c>
      <c r="I219" s="2" t="s">
        <v>24</v>
      </c>
      <c r="J219" s="2"/>
      <c r="K219" s="2" t="s">
        <v>24</v>
      </c>
      <c r="L219" s="2"/>
      <c r="M219" s="2"/>
      <c r="N219" s="2" t="s">
        <v>35</v>
      </c>
      <c r="O219" s="2" t="s">
        <v>36</v>
      </c>
      <c r="P219" s="2"/>
      <c r="Q219" s="3"/>
      <c r="R219" s="3"/>
    </row>
    <row r="220" customFormat="false" ht="35.05" hidden="false" customHeight="false" outlineLevel="0" collapsed="false">
      <c r="A220" s="2" t="n">
        <v>219</v>
      </c>
      <c r="B220" s="2" t="s">
        <v>18</v>
      </c>
      <c r="C220" s="2" t="s">
        <v>852</v>
      </c>
      <c r="D220" s="2" t="s">
        <v>853</v>
      </c>
      <c r="E220" s="2" t="n">
        <v>2026</v>
      </c>
      <c r="F220" s="2" t="s">
        <v>854</v>
      </c>
      <c r="G220" s="2" t="s">
        <v>22</v>
      </c>
      <c r="H220" s="2" t="s">
        <v>855</v>
      </c>
      <c r="I220" s="2" t="s">
        <v>24</v>
      </c>
      <c r="J220" s="2" t="s">
        <v>24</v>
      </c>
      <c r="K220" s="2" t="s">
        <v>24</v>
      </c>
      <c r="L220" s="2"/>
      <c r="M220" s="2"/>
      <c r="N220" s="2" t="s">
        <v>35</v>
      </c>
      <c r="O220" s="2" t="s">
        <v>36</v>
      </c>
      <c r="P220" s="2"/>
      <c r="Q220" s="3"/>
      <c r="R220" s="3"/>
    </row>
    <row r="221" customFormat="false" ht="46.25" hidden="false" customHeight="false" outlineLevel="0" collapsed="false">
      <c r="A221" s="2" t="n">
        <v>220</v>
      </c>
      <c r="B221" s="2" t="s">
        <v>18</v>
      </c>
      <c r="C221" s="2" t="s">
        <v>856</v>
      </c>
      <c r="D221" s="2" t="s">
        <v>857</v>
      </c>
      <c r="E221" s="2" t="n">
        <v>2026</v>
      </c>
      <c r="F221" s="2" t="s">
        <v>729</v>
      </c>
      <c r="G221" s="2" t="s">
        <v>22</v>
      </c>
      <c r="H221" s="2" t="s">
        <v>858</v>
      </c>
      <c r="I221" s="2" t="s">
        <v>24</v>
      </c>
      <c r="J221" s="2"/>
      <c r="K221" s="2" t="s">
        <v>24</v>
      </c>
      <c r="L221" s="2"/>
      <c r="M221" s="2" t="s">
        <v>24</v>
      </c>
      <c r="N221" s="2" t="s">
        <v>35</v>
      </c>
      <c r="O221" s="2" t="s">
        <v>36</v>
      </c>
      <c r="P221" s="2"/>
      <c r="Q221" s="3"/>
      <c r="R221" s="3"/>
    </row>
    <row r="222" customFormat="false" ht="35.05" hidden="false" customHeight="false" outlineLevel="0" collapsed="false">
      <c r="A222" s="2" t="n">
        <v>221</v>
      </c>
      <c r="B222" s="2" t="s">
        <v>18</v>
      </c>
      <c r="C222" s="2" t="s">
        <v>859</v>
      </c>
      <c r="D222" s="2" t="s">
        <v>860</v>
      </c>
      <c r="E222" s="2" t="n">
        <v>2025</v>
      </c>
      <c r="F222" s="2" t="s">
        <v>317</v>
      </c>
      <c r="G222" s="2" t="s">
        <v>22</v>
      </c>
      <c r="H222" s="2" t="s">
        <v>861</v>
      </c>
      <c r="I222" s="2" t="s">
        <v>24</v>
      </c>
      <c r="J222" s="2"/>
      <c r="K222" s="2" t="s">
        <v>24</v>
      </c>
      <c r="L222" s="2"/>
      <c r="M222" s="2"/>
      <c r="N222" s="2" t="s">
        <v>35</v>
      </c>
      <c r="O222" s="2" t="s">
        <v>36</v>
      </c>
      <c r="P222" s="2"/>
      <c r="Q222" s="3"/>
      <c r="R222" s="3"/>
    </row>
    <row r="223" customFormat="false" ht="35.05" hidden="false" customHeight="false" outlineLevel="0" collapsed="false">
      <c r="A223" s="2" t="n">
        <v>222</v>
      </c>
      <c r="B223" s="2" t="s">
        <v>18</v>
      </c>
      <c r="C223" s="2" t="s">
        <v>862</v>
      </c>
      <c r="D223" s="2" t="s">
        <v>863</v>
      </c>
      <c r="E223" s="2" t="n">
        <v>2024</v>
      </c>
      <c r="F223" s="2" t="s">
        <v>864</v>
      </c>
      <c r="G223" s="2" t="s">
        <v>22</v>
      </c>
      <c r="H223" s="2" t="s">
        <v>865</v>
      </c>
      <c r="I223" s="2" t="s">
        <v>24</v>
      </c>
      <c r="J223" s="2" t="s">
        <v>24</v>
      </c>
      <c r="K223" s="2"/>
      <c r="L223" s="2" t="s">
        <v>24</v>
      </c>
      <c r="M223" s="2" t="s">
        <v>24</v>
      </c>
      <c r="N223" s="2" t="s">
        <v>35</v>
      </c>
      <c r="O223" s="2" t="s">
        <v>36</v>
      </c>
      <c r="P223" s="2"/>
      <c r="Q223" s="3"/>
      <c r="R223" s="3"/>
    </row>
    <row r="224" customFormat="false" ht="57.45" hidden="false" customHeight="false" outlineLevel="0" collapsed="false">
      <c r="A224" s="2" t="n">
        <v>223</v>
      </c>
      <c r="B224" s="2" t="s">
        <v>18</v>
      </c>
      <c r="C224" s="2" t="s">
        <v>866</v>
      </c>
      <c r="D224" s="2" t="s">
        <v>867</v>
      </c>
      <c r="E224" s="2" t="n">
        <v>2026</v>
      </c>
      <c r="F224" s="2" t="s">
        <v>714</v>
      </c>
      <c r="G224" s="2" t="s">
        <v>22</v>
      </c>
      <c r="H224" s="2" t="s">
        <v>868</v>
      </c>
      <c r="I224" s="2" t="s">
        <v>24</v>
      </c>
      <c r="J224" s="2"/>
      <c r="K224" s="2" t="s">
        <v>24</v>
      </c>
      <c r="L224" s="2"/>
      <c r="M224" s="2"/>
      <c r="N224" s="2" t="s">
        <v>25</v>
      </c>
      <c r="O224" s="2" t="s">
        <v>26</v>
      </c>
      <c r="P224" s="2"/>
      <c r="Q224" s="3"/>
      <c r="R224" s="3"/>
    </row>
    <row r="225" customFormat="false" ht="23.85" hidden="false" customHeight="false" outlineLevel="0" collapsed="false">
      <c r="A225" s="2" t="n">
        <v>224</v>
      </c>
      <c r="B225" s="2" t="s">
        <v>18</v>
      </c>
      <c r="C225" s="2" t="s">
        <v>869</v>
      </c>
      <c r="D225" s="2" t="s">
        <v>870</v>
      </c>
      <c r="E225" s="2" t="n">
        <v>2026</v>
      </c>
      <c r="F225" s="2" t="s">
        <v>360</v>
      </c>
      <c r="G225" s="2" t="s">
        <v>48</v>
      </c>
      <c r="H225" s="2" t="s">
        <v>871</v>
      </c>
      <c r="I225" s="2" t="s">
        <v>24</v>
      </c>
      <c r="J225" s="2"/>
      <c r="K225" s="2" t="s">
        <v>24</v>
      </c>
      <c r="L225" s="2"/>
      <c r="M225" s="2" t="s">
        <v>24</v>
      </c>
      <c r="N225" s="2" t="s">
        <v>35</v>
      </c>
      <c r="O225" s="2" t="s">
        <v>36</v>
      </c>
      <c r="P225" s="2"/>
      <c r="Q225" s="3"/>
      <c r="R225" s="3"/>
    </row>
    <row r="226" customFormat="false" ht="46.25" hidden="false" customHeight="false" outlineLevel="0" collapsed="false">
      <c r="A226" s="2" t="n">
        <v>225</v>
      </c>
      <c r="B226" s="2" t="s">
        <v>18</v>
      </c>
      <c r="C226" s="2" t="s">
        <v>872</v>
      </c>
      <c r="D226" s="2" t="s">
        <v>873</v>
      </c>
      <c r="E226" s="2" t="n">
        <v>2026</v>
      </c>
      <c r="F226" s="2" t="s">
        <v>85</v>
      </c>
      <c r="G226" s="2" t="s">
        <v>48</v>
      </c>
      <c r="H226" s="2" t="s">
        <v>874</v>
      </c>
      <c r="I226" s="2" t="s">
        <v>24</v>
      </c>
      <c r="J226" s="2"/>
      <c r="K226" s="2" t="s">
        <v>24</v>
      </c>
      <c r="L226" s="2"/>
      <c r="M226" s="2" t="s">
        <v>24</v>
      </c>
      <c r="N226" s="2" t="s">
        <v>35</v>
      </c>
      <c r="O226" s="2" t="s">
        <v>36</v>
      </c>
      <c r="P226" s="2"/>
      <c r="Q226" s="3"/>
      <c r="R226" s="3"/>
    </row>
    <row r="227" customFormat="false" ht="35.05" hidden="false" customHeight="false" outlineLevel="0" collapsed="false">
      <c r="A227" s="2" t="n">
        <v>226</v>
      </c>
      <c r="B227" s="2" t="s">
        <v>18</v>
      </c>
      <c r="C227" s="2" t="s">
        <v>875</v>
      </c>
      <c r="D227" s="2" t="s">
        <v>513</v>
      </c>
      <c r="E227" s="2" t="n">
        <v>2026</v>
      </c>
      <c r="F227" s="2" t="s">
        <v>876</v>
      </c>
      <c r="G227" s="2" t="s">
        <v>22</v>
      </c>
      <c r="H227" s="2" t="s">
        <v>877</v>
      </c>
      <c r="I227" s="2" t="s">
        <v>24</v>
      </c>
      <c r="J227" s="2"/>
      <c r="K227" s="2" t="s">
        <v>24</v>
      </c>
      <c r="L227" s="2"/>
      <c r="M227" s="2" t="s">
        <v>24</v>
      </c>
      <c r="N227" s="2" t="s">
        <v>35</v>
      </c>
      <c r="O227" s="2" t="s">
        <v>36</v>
      </c>
      <c r="P227" s="2"/>
      <c r="Q227" s="3"/>
      <c r="R227" s="3"/>
    </row>
    <row r="228" customFormat="false" ht="23.85" hidden="false" customHeight="false" outlineLevel="0" collapsed="false">
      <c r="A228" s="2" t="n">
        <v>227</v>
      </c>
      <c r="B228" s="2" t="s">
        <v>18</v>
      </c>
      <c r="C228" s="2" t="s">
        <v>878</v>
      </c>
      <c r="D228" s="2" t="s">
        <v>879</v>
      </c>
      <c r="E228" s="2" t="n">
        <v>2026</v>
      </c>
      <c r="F228" s="2" t="s">
        <v>186</v>
      </c>
      <c r="G228" s="2" t="s">
        <v>22</v>
      </c>
      <c r="H228" s="2" t="s">
        <v>880</v>
      </c>
      <c r="I228" s="2" t="s">
        <v>24</v>
      </c>
      <c r="J228" s="2" t="s">
        <v>24</v>
      </c>
      <c r="K228" s="2" t="s">
        <v>24</v>
      </c>
      <c r="L228" s="2"/>
      <c r="M228" s="2"/>
      <c r="N228" s="2" t="s">
        <v>158</v>
      </c>
      <c r="O228" s="2" t="s">
        <v>881</v>
      </c>
      <c r="P228" s="2"/>
      <c r="Q228" s="3"/>
      <c r="R228" s="3"/>
    </row>
    <row r="229" customFormat="false" ht="23.85" hidden="false" customHeight="false" outlineLevel="0" collapsed="false">
      <c r="A229" s="2" t="n">
        <v>228</v>
      </c>
      <c r="B229" s="2" t="s">
        <v>18</v>
      </c>
      <c r="C229" s="2" t="s">
        <v>882</v>
      </c>
      <c r="D229" s="2" t="s">
        <v>883</v>
      </c>
      <c r="E229" s="2" t="n">
        <v>2026</v>
      </c>
      <c r="F229" s="2" t="s">
        <v>884</v>
      </c>
      <c r="G229" s="2" t="s">
        <v>48</v>
      </c>
      <c r="H229" s="2" t="s">
        <v>885</v>
      </c>
      <c r="I229" s="2"/>
      <c r="J229" s="2" t="s">
        <v>24</v>
      </c>
      <c r="K229" s="2"/>
      <c r="L229" s="2" t="s">
        <v>24</v>
      </c>
      <c r="M229" s="2" t="s">
        <v>24</v>
      </c>
      <c r="N229" s="2" t="s">
        <v>122</v>
      </c>
      <c r="O229" s="2" t="s">
        <v>886</v>
      </c>
      <c r="P229" s="2"/>
      <c r="Q229" s="3"/>
      <c r="R229" s="3"/>
    </row>
    <row r="230" customFormat="false" ht="35.05" hidden="false" customHeight="false" outlineLevel="0" collapsed="false">
      <c r="A230" s="2" t="n">
        <v>229</v>
      </c>
      <c r="B230" s="2" t="s">
        <v>18</v>
      </c>
      <c r="C230" s="2" t="s">
        <v>887</v>
      </c>
      <c r="D230" s="2" t="s">
        <v>888</v>
      </c>
      <c r="E230" s="2" t="n">
        <v>2025</v>
      </c>
      <c r="F230" s="2" t="s">
        <v>889</v>
      </c>
      <c r="G230" s="2" t="s">
        <v>22</v>
      </c>
      <c r="H230" s="2" t="s">
        <v>890</v>
      </c>
      <c r="I230" s="2" t="s">
        <v>24</v>
      </c>
      <c r="J230" s="2"/>
      <c r="K230" s="2" t="s">
        <v>24</v>
      </c>
      <c r="L230" s="2"/>
      <c r="M230" s="2" t="s">
        <v>24</v>
      </c>
      <c r="N230" s="2" t="s">
        <v>35</v>
      </c>
      <c r="O230" s="2" t="s">
        <v>36</v>
      </c>
      <c r="P230" s="2"/>
      <c r="Q230" s="3"/>
      <c r="R230" s="3"/>
    </row>
    <row r="231" customFormat="false" ht="35.05" hidden="false" customHeight="false" outlineLevel="0" collapsed="false">
      <c r="A231" s="2" t="n">
        <v>230</v>
      </c>
      <c r="B231" s="2" t="s">
        <v>18</v>
      </c>
      <c r="C231" s="2" t="s">
        <v>891</v>
      </c>
      <c r="D231" s="2" t="s">
        <v>892</v>
      </c>
      <c r="E231" s="2" t="n">
        <v>2026</v>
      </c>
      <c r="F231" s="2" t="s">
        <v>893</v>
      </c>
      <c r="G231" s="2" t="s">
        <v>48</v>
      </c>
      <c r="H231" s="2" t="s">
        <v>894</v>
      </c>
      <c r="I231" s="2" t="s">
        <v>24</v>
      </c>
      <c r="J231" s="2"/>
      <c r="K231" s="2" t="s">
        <v>24</v>
      </c>
      <c r="L231" s="2"/>
      <c r="M231" s="2"/>
      <c r="N231" s="2" t="s">
        <v>35</v>
      </c>
      <c r="O231" s="2" t="s">
        <v>36</v>
      </c>
      <c r="P231" s="2"/>
      <c r="Q231" s="3"/>
      <c r="R231" s="3"/>
    </row>
    <row r="232" customFormat="false" ht="46.25" hidden="false" customHeight="false" outlineLevel="0" collapsed="false">
      <c r="A232" s="2" t="n">
        <v>231</v>
      </c>
      <c r="B232" s="2" t="s">
        <v>18</v>
      </c>
      <c r="C232" s="2" t="s">
        <v>895</v>
      </c>
      <c r="D232" s="2" t="s">
        <v>896</v>
      </c>
      <c r="E232" s="2" t="n">
        <v>2026</v>
      </c>
      <c r="F232" s="2" t="s">
        <v>897</v>
      </c>
      <c r="G232" s="2" t="s">
        <v>22</v>
      </c>
      <c r="H232" s="2" t="s">
        <v>898</v>
      </c>
      <c r="I232" s="2" t="s">
        <v>24</v>
      </c>
      <c r="J232" s="2"/>
      <c r="K232" s="2" t="s">
        <v>24</v>
      </c>
      <c r="L232" s="2"/>
      <c r="M232" s="2" t="s">
        <v>24</v>
      </c>
      <c r="N232" s="2" t="s">
        <v>35</v>
      </c>
      <c r="O232" s="2" t="s">
        <v>36</v>
      </c>
      <c r="P232" s="2"/>
      <c r="Q232" s="3"/>
      <c r="R232" s="3"/>
    </row>
    <row r="233" customFormat="false" ht="35.05" hidden="false" customHeight="false" outlineLevel="0" collapsed="false">
      <c r="A233" s="2" t="n">
        <v>232</v>
      </c>
      <c r="B233" s="2" t="s">
        <v>18</v>
      </c>
      <c r="C233" s="2" t="s">
        <v>899</v>
      </c>
      <c r="D233" s="2" t="s">
        <v>900</v>
      </c>
      <c r="E233" s="2" t="n">
        <v>2026</v>
      </c>
      <c r="F233" s="2" t="s">
        <v>65</v>
      </c>
      <c r="G233" s="2" t="s">
        <v>48</v>
      </c>
      <c r="H233" s="2" t="s">
        <v>901</v>
      </c>
      <c r="I233" s="2" t="s">
        <v>24</v>
      </c>
      <c r="J233" s="2"/>
      <c r="K233" s="2" t="s">
        <v>24</v>
      </c>
      <c r="L233" s="2"/>
      <c r="M233" s="2" t="s">
        <v>24</v>
      </c>
      <c r="N233" s="2" t="s">
        <v>35</v>
      </c>
      <c r="O233" s="2" t="s">
        <v>36</v>
      </c>
      <c r="P233" s="2"/>
      <c r="Q233" s="3"/>
      <c r="R233" s="3"/>
    </row>
    <row r="234" customFormat="false" ht="35.05" hidden="false" customHeight="false" outlineLevel="0" collapsed="false">
      <c r="A234" s="2" t="n">
        <v>233</v>
      </c>
      <c r="B234" s="2" t="s">
        <v>18</v>
      </c>
      <c r="C234" s="2" t="s">
        <v>902</v>
      </c>
      <c r="D234" s="2" t="s">
        <v>903</v>
      </c>
      <c r="E234" s="2" t="n">
        <v>2025</v>
      </c>
      <c r="F234" s="2" t="s">
        <v>904</v>
      </c>
      <c r="G234" s="2" t="s">
        <v>22</v>
      </c>
      <c r="H234" s="2" t="s">
        <v>905</v>
      </c>
      <c r="I234" s="2" t="s">
        <v>24</v>
      </c>
      <c r="J234" s="2"/>
      <c r="K234" s="2" t="s">
        <v>24</v>
      </c>
      <c r="L234" s="2"/>
      <c r="M234" s="2" t="s">
        <v>24</v>
      </c>
      <c r="N234" s="2" t="s">
        <v>25</v>
      </c>
      <c r="O234" s="2" t="s">
        <v>26</v>
      </c>
      <c r="P234" s="2"/>
      <c r="Q234" s="3"/>
      <c r="R234" s="3"/>
    </row>
    <row r="235" customFormat="false" ht="23.85" hidden="false" customHeight="false" outlineLevel="0" collapsed="false">
      <c r="A235" s="2" t="n">
        <v>234</v>
      </c>
      <c r="B235" s="2" t="s">
        <v>18</v>
      </c>
      <c r="C235" s="2" t="s">
        <v>906</v>
      </c>
      <c r="D235" s="2" t="s">
        <v>907</v>
      </c>
      <c r="E235" s="2" t="n">
        <v>2025</v>
      </c>
      <c r="F235" s="2" t="s">
        <v>577</v>
      </c>
      <c r="G235" s="2" t="s">
        <v>48</v>
      </c>
      <c r="H235" s="2" t="s">
        <v>908</v>
      </c>
      <c r="I235" s="2"/>
      <c r="J235" s="2"/>
      <c r="K235" s="2" t="s">
        <v>24</v>
      </c>
      <c r="L235" s="2"/>
      <c r="M235" s="2" t="s">
        <v>24</v>
      </c>
      <c r="N235" s="2" t="s">
        <v>128</v>
      </c>
      <c r="O235" s="2" t="s">
        <v>129</v>
      </c>
      <c r="P235" s="2"/>
      <c r="Q235" s="3"/>
      <c r="R235" s="3"/>
    </row>
    <row r="236" customFormat="false" ht="46.25" hidden="false" customHeight="false" outlineLevel="0" collapsed="false">
      <c r="A236" s="2" t="n">
        <v>235</v>
      </c>
      <c r="B236" s="2" t="s">
        <v>18</v>
      </c>
      <c r="C236" s="2" t="s">
        <v>909</v>
      </c>
      <c r="D236" s="2" t="s">
        <v>910</v>
      </c>
      <c r="E236" s="2" t="n">
        <v>2026</v>
      </c>
      <c r="F236" s="2" t="s">
        <v>911</v>
      </c>
      <c r="G236" s="2" t="s">
        <v>22</v>
      </c>
      <c r="H236" s="2" t="s">
        <v>912</v>
      </c>
      <c r="I236" s="2" t="s">
        <v>24</v>
      </c>
      <c r="J236" s="2"/>
      <c r="K236" s="2" t="s">
        <v>24</v>
      </c>
      <c r="L236" s="2"/>
      <c r="M236" s="2"/>
      <c r="N236" s="2" t="s">
        <v>25</v>
      </c>
      <c r="O236" s="2" t="s">
        <v>26</v>
      </c>
      <c r="P236" s="2"/>
      <c r="Q236" s="3"/>
      <c r="R236" s="3"/>
    </row>
    <row r="237" customFormat="false" ht="23.85" hidden="false" customHeight="false" outlineLevel="0" collapsed="false">
      <c r="A237" s="2" t="n">
        <v>236</v>
      </c>
      <c r="B237" s="2" t="s">
        <v>18</v>
      </c>
      <c r="C237" s="2" t="s">
        <v>913</v>
      </c>
      <c r="D237" s="2" t="s">
        <v>914</v>
      </c>
      <c r="E237" s="2" t="n">
        <v>2025</v>
      </c>
      <c r="F237" s="2" t="s">
        <v>241</v>
      </c>
      <c r="G237" s="2" t="s">
        <v>48</v>
      </c>
      <c r="H237" s="2" t="s">
        <v>915</v>
      </c>
      <c r="I237" s="2" t="s">
        <v>24</v>
      </c>
      <c r="J237" s="2"/>
      <c r="K237" s="2" t="s">
        <v>24</v>
      </c>
      <c r="L237" s="2"/>
      <c r="M237" s="2" t="s">
        <v>24</v>
      </c>
      <c r="N237" s="2" t="s">
        <v>35</v>
      </c>
      <c r="O237" s="2" t="s">
        <v>36</v>
      </c>
      <c r="P237" s="2"/>
      <c r="Q237" s="3"/>
      <c r="R237" s="3"/>
    </row>
    <row r="238" customFormat="false" ht="35.05" hidden="false" customHeight="false" outlineLevel="0" collapsed="false">
      <c r="A238" s="2" t="n">
        <v>237</v>
      </c>
      <c r="B238" s="2" t="s">
        <v>18</v>
      </c>
      <c r="C238" s="2" t="s">
        <v>916</v>
      </c>
      <c r="D238" s="2" t="s">
        <v>917</v>
      </c>
      <c r="E238" s="2" t="n">
        <v>2026</v>
      </c>
      <c r="F238" s="2" t="s">
        <v>85</v>
      </c>
      <c r="G238" s="2" t="s">
        <v>48</v>
      </c>
      <c r="H238" s="2" t="s">
        <v>918</v>
      </c>
      <c r="I238" s="2" t="s">
        <v>24</v>
      </c>
      <c r="J238" s="2"/>
      <c r="K238" s="2" t="s">
        <v>24</v>
      </c>
      <c r="L238" s="2"/>
      <c r="M238" s="2"/>
      <c r="N238" s="2" t="s">
        <v>35</v>
      </c>
      <c r="O238" s="2" t="s">
        <v>36</v>
      </c>
      <c r="P238" s="2"/>
      <c r="Q238" s="3"/>
      <c r="R238" s="3"/>
    </row>
    <row r="239" customFormat="false" ht="57.45" hidden="false" customHeight="false" outlineLevel="0" collapsed="false">
      <c r="A239" s="2" t="n">
        <v>238</v>
      </c>
      <c r="B239" s="2" t="s">
        <v>18</v>
      </c>
      <c r="C239" s="2" t="s">
        <v>919</v>
      </c>
      <c r="D239" s="2" t="s">
        <v>920</v>
      </c>
      <c r="E239" s="2" t="n">
        <v>2025</v>
      </c>
      <c r="F239" s="2" t="s">
        <v>921</v>
      </c>
      <c r="G239" s="2" t="s">
        <v>22</v>
      </c>
      <c r="H239" s="2" t="s">
        <v>922</v>
      </c>
      <c r="I239" s="2" t="s">
        <v>24</v>
      </c>
      <c r="J239" s="2"/>
      <c r="K239" s="2" t="s">
        <v>24</v>
      </c>
      <c r="L239" s="2"/>
      <c r="M239" s="2" t="s">
        <v>24</v>
      </c>
      <c r="N239" s="2" t="s">
        <v>158</v>
      </c>
      <c r="O239" s="2" t="s">
        <v>159</v>
      </c>
      <c r="P239" s="2"/>
      <c r="Q239" s="3"/>
      <c r="R239" s="3"/>
    </row>
    <row r="240" customFormat="false" ht="23.85" hidden="false" customHeight="false" outlineLevel="0" collapsed="false">
      <c r="A240" s="2" t="n">
        <v>239</v>
      </c>
      <c r="B240" s="2" t="s">
        <v>18</v>
      </c>
      <c r="C240" s="2" t="s">
        <v>923</v>
      </c>
      <c r="D240" s="2" t="s">
        <v>924</v>
      </c>
      <c r="E240" s="2" t="n">
        <v>2025</v>
      </c>
      <c r="F240" s="2" t="s">
        <v>770</v>
      </c>
      <c r="G240" s="2" t="s">
        <v>22</v>
      </c>
      <c r="H240" s="2" t="s">
        <v>925</v>
      </c>
      <c r="I240" s="2"/>
      <c r="J240" s="2"/>
      <c r="K240" s="2" t="s">
        <v>24</v>
      </c>
      <c r="L240" s="2"/>
      <c r="M240" s="2" t="s">
        <v>24</v>
      </c>
      <c r="N240" s="2" t="s">
        <v>128</v>
      </c>
      <c r="O240" s="2" t="s">
        <v>129</v>
      </c>
      <c r="P240" s="2"/>
      <c r="Q240" s="3"/>
      <c r="R240" s="3"/>
    </row>
    <row r="241" customFormat="false" ht="23.85" hidden="false" customHeight="false" outlineLevel="0" collapsed="false">
      <c r="A241" s="2" t="n">
        <v>240</v>
      </c>
      <c r="B241" s="2" t="s">
        <v>18</v>
      </c>
      <c r="C241" s="2" t="s">
        <v>926</v>
      </c>
      <c r="D241" s="2" t="s">
        <v>927</v>
      </c>
      <c r="E241" s="2" t="n">
        <v>2024</v>
      </c>
      <c r="F241" s="2" t="s">
        <v>928</v>
      </c>
      <c r="G241" s="2" t="s">
        <v>48</v>
      </c>
      <c r="H241" s="2" t="s">
        <v>929</v>
      </c>
      <c r="I241" s="2" t="s">
        <v>24</v>
      </c>
      <c r="J241" s="2"/>
      <c r="K241" s="2" t="s">
        <v>24</v>
      </c>
      <c r="L241" s="2"/>
      <c r="M241" s="2" t="s">
        <v>24</v>
      </c>
      <c r="N241" s="2" t="s">
        <v>35</v>
      </c>
      <c r="O241" s="2" t="s">
        <v>36</v>
      </c>
      <c r="P241" s="2"/>
      <c r="Q241" s="3"/>
      <c r="R241" s="3"/>
    </row>
    <row r="242" customFormat="false" ht="46.25" hidden="false" customHeight="false" outlineLevel="0" collapsed="false">
      <c r="A242" s="2" t="n">
        <v>241</v>
      </c>
      <c r="B242" s="2" t="s">
        <v>18</v>
      </c>
      <c r="C242" s="2" t="s">
        <v>930</v>
      </c>
      <c r="D242" s="2" t="s">
        <v>931</v>
      </c>
      <c r="E242" s="2" t="n">
        <v>2025</v>
      </c>
      <c r="F242" s="2" t="s">
        <v>932</v>
      </c>
      <c r="G242" s="2" t="s">
        <v>22</v>
      </c>
      <c r="H242" s="2" t="s">
        <v>933</v>
      </c>
      <c r="I242" s="2" t="s">
        <v>24</v>
      </c>
      <c r="J242" s="2"/>
      <c r="K242" s="2" t="s">
        <v>24</v>
      </c>
      <c r="L242" s="2"/>
      <c r="M242" s="2" t="s">
        <v>24</v>
      </c>
      <c r="N242" s="2" t="s">
        <v>25</v>
      </c>
      <c r="O242" s="2" t="s">
        <v>26</v>
      </c>
      <c r="P242" s="2"/>
      <c r="Q242" s="3"/>
      <c r="R242" s="3"/>
    </row>
    <row r="243" customFormat="false" ht="23.85" hidden="false" customHeight="false" outlineLevel="0" collapsed="false">
      <c r="A243" s="2" t="n">
        <v>242</v>
      </c>
      <c r="B243" s="2" t="s">
        <v>18</v>
      </c>
      <c r="C243" s="2" t="s">
        <v>934</v>
      </c>
      <c r="D243" s="2" t="s">
        <v>935</v>
      </c>
      <c r="E243" s="2" t="n">
        <v>2025</v>
      </c>
      <c r="F243" s="2" t="s">
        <v>936</v>
      </c>
      <c r="G243" s="2" t="s">
        <v>48</v>
      </c>
      <c r="H243" s="2" t="s">
        <v>937</v>
      </c>
      <c r="I243" s="2" t="s">
        <v>24</v>
      </c>
      <c r="J243" s="2"/>
      <c r="K243" s="2" t="s">
        <v>24</v>
      </c>
      <c r="L243" s="2"/>
      <c r="M243" s="2"/>
      <c r="N243" s="2" t="s">
        <v>35</v>
      </c>
      <c r="O243" s="2" t="s">
        <v>36</v>
      </c>
      <c r="P243" s="2"/>
      <c r="Q243" s="3"/>
      <c r="R243" s="3"/>
    </row>
    <row r="244" customFormat="false" ht="46.25" hidden="false" customHeight="false" outlineLevel="0" collapsed="false">
      <c r="A244" s="2" t="n">
        <v>243</v>
      </c>
      <c r="B244" s="2" t="s">
        <v>18</v>
      </c>
      <c r="C244" s="2" t="s">
        <v>938</v>
      </c>
      <c r="D244" s="2" t="s">
        <v>939</v>
      </c>
      <c r="E244" s="2" t="n">
        <v>2025</v>
      </c>
      <c r="F244" s="2" t="s">
        <v>940</v>
      </c>
      <c r="G244" s="2" t="s">
        <v>22</v>
      </c>
      <c r="H244" s="2" t="s">
        <v>941</v>
      </c>
      <c r="I244" s="2" t="s">
        <v>24</v>
      </c>
      <c r="J244" s="2"/>
      <c r="K244" s="2" t="s">
        <v>24</v>
      </c>
      <c r="L244" s="2"/>
      <c r="M244" s="2" t="s">
        <v>24</v>
      </c>
      <c r="N244" s="2" t="s">
        <v>158</v>
      </c>
      <c r="O244" s="2" t="s">
        <v>159</v>
      </c>
      <c r="P244" s="2"/>
      <c r="Q244" s="3"/>
      <c r="R244" s="3"/>
    </row>
    <row r="245" customFormat="false" ht="35.05" hidden="false" customHeight="false" outlineLevel="0" collapsed="false">
      <c r="A245" s="2" t="n">
        <v>244</v>
      </c>
      <c r="B245" s="2" t="s">
        <v>942</v>
      </c>
      <c r="C245" s="2" t="s">
        <v>943</v>
      </c>
      <c r="D245" s="2" t="s">
        <v>944</v>
      </c>
      <c r="E245" s="2" t="n">
        <v>2026</v>
      </c>
      <c r="F245" s="2" t="s">
        <v>945</v>
      </c>
      <c r="G245" s="2" t="s">
        <v>946</v>
      </c>
      <c r="H245" s="2" t="s">
        <v>947</v>
      </c>
      <c r="I245" s="2" t="s">
        <v>24</v>
      </c>
      <c r="J245" s="2" t="s">
        <v>24</v>
      </c>
      <c r="K245" s="2" t="s">
        <v>24</v>
      </c>
      <c r="L245" s="2"/>
      <c r="M245" s="2"/>
      <c r="N245" s="2" t="s">
        <v>35</v>
      </c>
      <c r="O245" s="2" t="s">
        <v>36</v>
      </c>
      <c r="P245" s="2"/>
      <c r="Q245" s="3"/>
      <c r="R245" s="3"/>
    </row>
    <row r="246" customFormat="false" ht="35.05" hidden="false" customHeight="false" outlineLevel="0" collapsed="false">
      <c r="A246" s="2" t="n">
        <v>245</v>
      </c>
      <c r="B246" s="2" t="s">
        <v>942</v>
      </c>
      <c r="C246" s="2" t="s">
        <v>948</v>
      </c>
      <c r="D246" s="2" t="s">
        <v>949</v>
      </c>
      <c r="E246" s="2" t="n">
        <v>2026</v>
      </c>
      <c r="F246" s="2" t="s">
        <v>950</v>
      </c>
      <c r="G246" s="2" t="s">
        <v>946</v>
      </c>
      <c r="H246" s="2" t="s">
        <v>951</v>
      </c>
      <c r="I246" s="2" t="s">
        <v>24</v>
      </c>
      <c r="J246" s="2"/>
      <c r="K246" s="2" t="s">
        <v>24</v>
      </c>
      <c r="L246" s="2"/>
      <c r="M246" s="2" t="s">
        <v>24</v>
      </c>
      <c r="N246" s="2" t="s">
        <v>35</v>
      </c>
      <c r="O246" s="2" t="s">
        <v>36</v>
      </c>
      <c r="P246" s="2"/>
      <c r="Q246" s="3"/>
      <c r="R246" s="3"/>
    </row>
    <row r="247" customFormat="false" ht="46.25" hidden="false" customHeight="false" outlineLevel="0" collapsed="false">
      <c r="A247" s="2" t="n">
        <v>246</v>
      </c>
      <c r="B247" s="2" t="s">
        <v>942</v>
      </c>
      <c r="C247" s="2" t="s">
        <v>952</v>
      </c>
      <c r="D247" s="2" t="s">
        <v>953</v>
      </c>
      <c r="E247" s="2" t="n">
        <v>2026</v>
      </c>
      <c r="F247" s="2" t="s">
        <v>954</v>
      </c>
      <c r="G247" s="2" t="s">
        <v>946</v>
      </c>
      <c r="H247" s="2" t="s">
        <v>955</v>
      </c>
      <c r="I247" s="2" t="s">
        <v>24</v>
      </c>
      <c r="J247" s="2"/>
      <c r="K247" s="2" t="s">
        <v>24</v>
      </c>
      <c r="L247" s="2"/>
      <c r="M247" s="2"/>
      <c r="N247" s="2" t="s">
        <v>158</v>
      </c>
      <c r="O247" s="2" t="s">
        <v>159</v>
      </c>
      <c r="P247" s="2"/>
      <c r="Q247" s="3"/>
      <c r="R247" s="3"/>
    </row>
    <row r="248" customFormat="false" ht="46.25" hidden="false" customHeight="false" outlineLevel="0" collapsed="false">
      <c r="A248" s="2" t="n">
        <v>247</v>
      </c>
      <c r="B248" s="2" t="s">
        <v>942</v>
      </c>
      <c r="C248" s="2" t="s">
        <v>956</v>
      </c>
      <c r="D248" s="2" t="s">
        <v>957</v>
      </c>
      <c r="E248" s="2" t="n">
        <v>2024</v>
      </c>
      <c r="F248" s="2" t="s">
        <v>958</v>
      </c>
      <c r="G248" s="2" t="s">
        <v>946</v>
      </c>
      <c r="H248" s="2" t="s">
        <v>959</v>
      </c>
      <c r="I248" s="2" t="s">
        <v>24</v>
      </c>
      <c r="J248" s="2"/>
      <c r="K248" s="2" t="s">
        <v>24</v>
      </c>
      <c r="L248" s="2"/>
      <c r="M248" s="2" t="s">
        <v>24</v>
      </c>
      <c r="N248" s="2" t="s">
        <v>35</v>
      </c>
      <c r="O248" s="2" t="s">
        <v>36</v>
      </c>
      <c r="P248" s="2"/>
      <c r="Q248" s="3"/>
      <c r="R248" s="3"/>
    </row>
    <row r="249" customFormat="false" ht="35.05" hidden="false" customHeight="false" outlineLevel="0" collapsed="false">
      <c r="A249" s="2" t="n">
        <v>248</v>
      </c>
      <c r="B249" s="2" t="s">
        <v>942</v>
      </c>
      <c r="C249" s="2" t="s">
        <v>960</v>
      </c>
      <c r="D249" s="2" t="s">
        <v>961</v>
      </c>
      <c r="E249" s="2" t="n">
        <v>2025</v>
      </c>
      <c r="F249" s="2" t="s">
        <v>962</v>
      </c>
      <c r="G249" s="2" t="s">
        <v>946</v>
      </c>
      <c r="H249" s="2" t="s">
        <v>963</v>
      </c>
      <c r="I249" s="2" t="s">
        <v>24</v>
      </c>
      <c r="J249" s="2" t="s">
        <v>24</v>
      </c>
      <c r="K249" s="2"/>
      <c r="L249" s="2"/>
      <c r="M249" s="2" t="s">
        <v>24</v>
      </c>
      <c r="N249" s="2" t="s">
        <v>964</v>
      </c>
      <c r="O249" s="2" t="s">
        <v>965</v>
      </c>
      <c r="P249" s="2"/>
      <c r="Q249" s="3"/>
      <c r="R249" s="3"/>
    </row>
    <row r="250" customFormat="false" ht="35.05" hidden="false" customHeight="false" outlineLevel="0" collapsed="false">
      <c r="A250" s="2" t="n">
        <v>249</v>
      </c>
      <c r="B250" s="2" t="s">
        <v>942</v>
      </c>
      <c r="C250" s="2" t="s">
        <v>966</v>
      </c>
      <c r="D250" s="2" t="s">
        <v>967</v>
      </c>
      <c r="E250" s="2" t="n">
        <v>2026</v>
      </c>
      <c r="F250" s="2" t="s">
        <v>968</v>
      </c>
      <c r="G250" s="2" t="s">
        <v>946</v>
      </c>
      <c r="H250" s="2" t="s">
        <v>969</v>
      </c>
      <c r="I250" s="2"/>
      <c r="J250" s="2"/>
      <c r="K250" s="2" t="s">
        <v>24</v>
      </c>
      <c r="L250" s="2"/>
      <c r="M250" s="2"/>
      <c r="N250" s="2" t="s">
        <v>128</v>
      </c>
      <c r="O250" s="2" t="s">
        <v>129</v>
      </c>
      <c r="P250" s="2"/>
      <c r="Q250" s="3"/>
      <c r="R250" s="3"/>
    </row>
    <row r="251" customFormat="false" ht="35.05" hidden="false" customHeight="false" outlineLevel="0" collapsed="false">
      <c r="A251" s="2" t="n">
        <v>250</v>
      </c>
      <c r="B251" s="2" t="s">
        <v>942</v>
      </c>
      <c r="C251" s="2" t="s">
        <v>970</v>
      </c>
      <c r="D251" s="2" t="s">
        <v>971</v>
      </c>
      <c r="E251" s="2" t="n">
        <v>2026</v>
      </c>
      <c r="F251" s="2" t="s">
        <v>972</v>
      </c>
      <c r="G251" s="2" t="s">
        <v>946</v>
      </c>
      <c r="H251" s="2" t="s">
        <v>973</v>
      </c>
      <c r="I251" s="2" t="s">
        <v>24</v>
      </c>
      <c r="J251" s="2"/>
      <c r="K251" s="2"/>
      <c r="L251" s="2"/>
      <c r="M251" s="2" t="s">
        <v>24</v>
      </c>
      <c r="N251" s="2" t="s">
        <v>964</v>
      </c>
      <c r="O251" s="2" t="s">
        <v>965</v>
      </c>
      <c r="P251" s="2"/>
      <c r="Q251" s="3"/>
      <c r="R251" s="3"/>
    </row>
    <row r="252" customFormat="false" ht="46.25" hidden="false" customHeight="false" outlineLevel="0" collapsed="false">
      <c r="A252" s="2" t="n">
        <v>251</v>
      </c>
      <c r="B252" s="2" t="s">
        <v>942</v>
      </c>
      <c r="C252" s="2" t="s">
        <v>974</v>
      </c>
      <c r="D252" s="2" t="s">
        <v>975</v>
      </c>
      <c r="E252" s="2" t="n">
        <v>2026</v>
      </c>
      <c r="F252" s="2" t="s">
        <v>976</v>
      </c>
      <c r="G252" s="2" t="s">
        <v>946</v>
      </c>
      <c r="H252" s="2" t="s">
        <v>977</v>
      </c>
      <c r="I252" s="2"/>
      <c r="J252" s="2"/>
      <c r="K252" s="2" t="s">
        <v>24</v>
      </c>
      <c r="L252" s="2"/>
      <c r="M252" s="2"/>
      <c r="N252" s="2" t="s">
        <v>128</v>
      </c>
      <c r="O252" s="2" t="s">
        <v>129</v>
      </c>
      <c r="P252" s="2"/>
      <c r="Q252" s="3"/>
      <c r="R252" s="3"/>
    </row>
    <row r="253" customFormat="false" ht="46.25" hidden="false" customHeight="false" outlineLevel="0" collapsed="false">
      <c r="A253" s="2" t="n">
        <v>252</v>
      </c>
      <c r="B253" s="2" t="s">
        <v>942</v>
      </c>
      <c r="C253" s="2" t="s">
        <v>978</v>
      </c>
      <c r="D253" s="2" t="s">
        <v>979</v>
      </c>
      <c r="E253" s="2" t="n">
        <v>2026</v>
      </c>
      <c r="F253" s="2" t="s">
        <v>980</v>
      </c>
      <c r="G253" s="2" t="s">
        <v>981</v>
      </c>
      <c r="H253" s="2" t="s">
        <v>982</v>
      </c>
      <c r="I253" s="2" t="s">
        <v>24</v>
      </c>
      <c r="J253" s="2"/>
      <c r="K253" s="2" t="s">
        <v>24</v>
      </c>
      <c r="L253" s="2"/>
      <c r="M253" s="2"/>
      <c r="N253" s="2" t="s">
        <v>35</v>
      </c>
      <c r="O253" s="2" t="s">
        <v>36</v>
      </c>
      <c r="P253" s="2"/>
      <c r="Q253" s="3"/>
      <c r="R253" s="3"/>
    </row>
    <row r="254" customFormat="false" ht="35.05" hidden="false" customHeight="false" outlineLevel="0" collapsed="false">
      <c r="A254" s="2" t="n">
        <v>253</v>
      </c>
      <c r="B254" s="2" t="s">
        <v>942</v>
      </c>
      <c r="C254" s="2" t="s">
        <v>983</v>
      </c>
      <c r="D254" s="2" t="s">
        <v>984</v>
      </c>
      <c r="E254" s="2" t="n">
        <v>2025</v>
      </c>
      <c r="F254" s="2" t="s">
        <v>985</v>
      </c>
      <c r="G254" s="2" t="s">
        <v>946</v>
      </c>
      <c r="H254" s="2" t="s">
        <v>986</v>
      </c>
      <c r="I254" s="2"/>
      <c r="J254" s="2"/>
      <c r="K254" s="2" t="s">
        <v>24</v>
      </c>
      <c r="L254" s="2"/>
      <c r="M254" s="2" t="s">
        <v>24</v>
      </c>
      <c r="N254" s="2" t="s">
        <v>128</v>
      </c>
      <c r="O254" s="2" t="s">
        <v>129</v>
      </c>
      <c r="P254" s="2"/>
      <c r="Q254" s="3"/>
      <c r="R254" s="3"/>
    </row>
    <row r="255" customFormat="false" ht="46.25" hidden="false" customHeight="false" outlineLevel="0" collapsed="false">
      <c r="A255" s="2" t="n">
        <v>254</v>
      </c>
      <c r="B255" s="2" t="s">
        <v>942</v>
      </c>
      <c r="C255" s="2" t="s">
        <v>987</v>
      </c>
      <c r="D255" s="2" t="s">
        <v>988</v>
      </c>
      <c r="E255" s="2" t="n">
        <v>2025</v>
      </c>
      <c r="F255" s="2" t="s">
        <v>989</v>
      </c>
      <c r="G255" s="2" t="s">
        <v>946</v>
      </c>
      <c r="H255" s="2" t="s">
        <v>990</v>
      </c>
      <c r="I255" s="2" t="s">
        <v>24</v>
      </c>
      <c r="J255" s="2"/>
      <c r="K255" s="2" t="s">
        <v>24</v>
      </c>
      <c r="L255" s="2"/>
      <c r="M255" s="2"/>
      <c r="N255" s="2" t="s">
        <v>35</v>
      </c>
      <c r="O255" s="2" t="s">
        <v>36</v>
      </c>
      <c r="P255" s="2"/>
      <c r="Q255" s="3"/>
      <c r="R255" s="3"/>
    </row>
    <row r="256" customFormat="false" ht="46.25" hidden="false" customHeight="false" outlineLevel="0" collapsed="false">
      <c r="A256" s="2" t="n">
        <v>255</v>
      </c>
      <c r="B256" s="2" t="s">
        <v>942</v>
      </c>
      <c r="C256" s="2" t="s">
        <v>991</v>
      </c>
      <c r="D256" s="2" t="s">
        <v>992</v>
      </c>
      <c r="E256" s="2" t="n">
        <v>2026</v>
      </c>
      <c r="F256" s="2" t="s">
        <v>993</v>
      </c>
      <c r="G256" s="2" t="s">
        <v>946</v>
      </c>
      <c r="H256" s="2" t="s">
        <v>994</v>
      </c>
      <c r="I256" s="2"/>
      <c r="J256" s="2"/>
      <c r="K256" s="2" t="s">
        <v>24</v>
      </c>
      <c r="L256" s="2"/>
      <c r="M256" s="2" t="s">
        <v>24</v>
      </c>
      <c r="N256" s="2" t="s">
        <v>25</v>
      </c>
      <c r="O256" s="2" t="s">
        <v>26</v>
      </c>
      <c r="P256" s="2"/>
      <c r="Q256" s="3"/>
      <c r="R256" s="3"/>
    </row>
    <row r="257" customFormat="false" ht="46.25" hidden="false" customHeight="false" outlineLevel="0" collapsed="false">
      <c r="A257" s="2" t="n">
        <v>256</v>
      </c>
      <c r="B257" s="2" t="s">
        <v>942</v>
      </c>
      <c r="C257" s="2" t="s">
        <v>995</v>
      </c>
      <c r="D257" s="2" t="s">
        <v>996</v>
      </c>
      <c r="E257" s="2" t="n">
        <v>2024</v>
      </c>
      <c r="F257" s="2" t="s">
        <v>997</v>
      </c>
      <c r="G257" s="2" t="s">
        <v>946</v>
      </c>
      <c r="H257" s="2" t="s">
        <v>998</v>
      </c>
      <c r="I257" s="2"/>
      <c r="J257" s="2"/>
      <c r="K257" s="2" t="s">
        <v>24</v>
      </c>
      <c r="L257" s="2"/>
      <c r="M257" s="2" t="s">
        <v>24</v>
      </c>
      <c r="N257" s="2" t="s">
        <v>128</v>
      </c>
      <c r="O257" s="2" t="s">
        <v>129</v>
      </c>
      <c r="P257" s="2"/>
      <c r="Q257" s="3"/>
      <c r="R257" s="3"/>
    </row>
    <row r="258" customFormat="false" ht="35.05" hidden="false" customHeight="false" outlineLevel="0" collapsed="false">
      <c r="A258" s="2" t="n">
        <v>257</v>
      </c>
      <c r="B258" s="2" t="s">
        <v>942</v>
      </c>
      <c r="C258" s="2" t="s">
        <v>999</v>
      </c>
      <c r="D258" s="2" t="s">
        <v>1000</v>
      </c>
      <c r="E258" s="2" t="n">
        <v>2026</v>
      </c>
      <c r="F258" s="2" t="s">
        <v>1001</v>
      </c>
      <c r="G258" s="2" t="s">
        <v>946</v>
      </c>
      <c r="H258" s="2" t="s">
        <v>1002</v>
      </c>
      <c r="I258" s="2" t="s">
        <v>24</v>
      </c>
      <c r="J258" s="2"/>
      <c r="K258" s="2" t="s">
        <v>24</v>
      </c>
      <c r="L258" s="2"/>
      <c r="M258" s="2" t="s">
        <v>24</v>
      </c>
      <c r="N258" s="2" t="s">
        <v>25</v>
      </c>
      <c r="O258" s="2" t="s">
        <v>26</v>
      </c>
      <c r="P258" s="2"/>
      <c r="Q258" s="3"/>
      <c r="R258" s="3"/>
    </row>
    <row r="259" customFormat="false" ht="46.25" hidden="false" customHeight="false" outlineLevel="0" collapsed="false">
      <c r="A259" s="2" t="n">
        <v>258</v>
      </c>
      <c r="B259" s="2" t="s">
        <v>942</v>
      </c>
      <c r="C259" s="2" t="s">
        <v>1003</v>
      </c>
      <c r="D259" s="2" t="s">
        <v>1004</v>
      </c>
      <c r="E259" s="2" t="n">
        <v>2026</v>
      </c>
      <c r="F259" s="2" t="s">
        <v>1005</v>
      </c>
      <c r="G259" s="2" t="s">
        <v>946</v>
      </c>
      <c r="H259" s="2" t="s">
        <v>1006</v>
      </c>
      <c r="I259" s="2"/>
      <c r="J259" s="2"/>
      <c r="K259" s="2" t="s">
        <v>24</v>
      </c>
      <c r="L259" s="2"/>
      <c r="M259" s="2" t="s">
        <v>24</v>
      </c>
      <c r="N259" s="2" t="s">
        <v>128</v>
      </c>
      <c r="O259" s="2" t="s">
        <v>129</v>
      </c>
      <c r="P259" s="2"/>
      <c r="Q259" s="3"/>
      <c r="R259" s="3"/>
    </row>
    <row r="260" customFormat="false" ht="35.05" hidden="false" customHeight="false" outlineLevel="0" collapsed="false">
      <c r="A260" s="2" t="n">
        <v>259</v>
      </c>
      <c r="B260" s="2" t="s">
        <v>942</v>
      </c>
      <c r="C260" s="2" t="s">
        <v>1007</v>
      </c>
      <c r="D260" s="2" t="s">
        <v>1008</v>
      </c>
      <c r="E260" s="2" t="n">
        <v>2025</v>
      </c>
      <c r="F260" s="2" t="s">
        <v>1009</v>
      </c>
      <c r="G260" s="2" t="s">
        <v>946</v>
      </c>
      <c r="H260" s="2" t="s">
        <v>1010</v>
      </c>
      <c r="I260" s="2" t="s">
        <v>24</v>
      </c>
      <c r="J260" s="2"/>
      <c r="K260" s="2"/>
      <c r="L260" s="2"/>
      <c r="M260" s="2"/>
      <c r="N260" s="2" t="s">
        <v>964</v>
      </c>
      <c r="O260" s="2" t="s">
        <v>965</v>
      </c>
      <c r="P260" s="2"/>
      <c r="Q260" s="3"/>
      <c r="R260" s="3"/>
    </row>
    <row r="261" customFormat="false" ht="35.05" hidden="false" customHeight="false" outlineLevel="0" collapsed="false">
      <c r="A261" s="2" t="n">
        <v>260</v>
      </c>
      <c r="B261" s="2" t="s">
        <v>942</v>
      </c>
      <c r="C261" s="2" t="s">
        <v>1011</v>
      </c>
      <c r="D261" s="2" t="s">
        <v>1012</v>
      </c>
      <c r="E261" s="2" t="n">
        <v>2024</v>
      </c>
      <c r="F261" s="2" t="s">
        <v>1013</v>
      </c>
      <c r="G261" s="2" t="s">
        <v>946</v>
      </c>
      <c r="H261" s="2" t="s">
        <v>1014</v>
      </c>
      <c r="I261" s="2" t="s">
        <v>24</v>
      </c>
      <c r="J261" s="2"/>
      <c r="K261" s="2" t="s">
        <v>24</v>
      </c>
      <c r="L261" s="2"/>
      <c r="M261" s="2"/>
      <c r="N261" s="2" t="s">
        <v>35</v>
      </c>
      <c r="O261" s="2" t="s">
        <v>36</v>
      </c>
      <c r="P261" s="2"/>
      <c r="Q261" s="3"/>
      <c r="R261" s="3"/>
    </row>
    <row r="262" customFormat="false" ht="46.25" hidden="false" customHeight="false" outlineLevel="0" collapsed="false">
      <c r="A262" s="2" t="n">
        <v>261</v>
      </c>
      <c r="B262" s="2" t="s">
        <v>942</v>
      </c>
      <c r="C262" s="2" t="s">
        <v>1015</v>
      </c>
      <c r="D262" s="2" t="s">
        <v>1016</v>
      </c>
      <c r="E262" s="2" t="n">
        <v>2025</v>
      </c>
      <c r="F262" s="2" t="s">
        <v>1017</v>
      </c>
      <c r="G262" s="2" t="s">
        <v>946</v>
      </c>
      <c r="H262" s="2" t="s">
        <v>1018</v>
      </c>
      <c r="I262" s="2" t="s">
        <v>24</v>
      </c>
      <c r="J262" s="2"/>
      <c r="K262" s="2"/>
      <c r="L262" s="2"/>
      <c r="M262" s="2"/>
      <c r="N262" s="2" t="s">
        <v>25</v>
      </c>
      <c r="O262" s="2" t="s">
        <v>26</v>
      </c>
      <c r="P262" s="2"/>
      <c r="Q262" s="3"/>
      <c r="R262" s="3"/>
    </row>
    <row r="263" customFormat="false" ht="35.05" hidden="false" customHeight="false" outlineLevel="0" collapsed="false">
      <c r="A263" s="2" t="n">
        <v>262</v>
      </c>
      <c r="B263" s="2" t="s">
        <v>942</v>
      </c>
      <c r="C263" s="2" t="s">
        <v>1019</v>
      </c>
      <c r="D263" s="2" t="s">
        <v>1020</v>
      </c>
      <c r="E263" s="2" t="n">
        <v>2024</v>
      </c>
      <c r="F263" s="2" t="s">
        <v>1021</v>
      </c>
      <c r="G263" s="2" t="s">
        <v>946</v>
      </c>
      <c r="H263" s="2" t="s">
        <v>1022</v>
      </c>
      <c r="I263" s="2" t="s">
        <v>24</v>
      </c>
      <c r="J263" s="2"/>
      <c r="K263" s="2" t="s">
        <v>24</v>
      </c>
      <c r="L263" s="2"/>
      <c r="M263" s="2"/>
      <c r="N263" s="2" t="s">
        <v>35</v>
      </c>
      <c r="O263" s="2" t="s">
        <v>36</v>
      </c>
      <c r="P263" s="2"/>
      <c r="Q263" s="3"/>
      <c r="R263" s="3"/>
    </row>
    <row r="264" customFormat="false" ht="46.25" hidden="false" customHeight="false" outlineLevel="0" collapsed="false">
      <c r="A264" s="2" t="n">
        <v>263</v>
      </c>
      <c r="B264" s="2" t="s">
        <v>942</v>
      </c>
      <c r="C264" s="2" t="s">
        <v>1023</v>
      </c>
      <c r="D264" s="2" t="s">
        <v>1024</v>
      </c>
      <c r="E264" s="2" t="n">
        <v>2025</v>
      </c>
      <c r="F264" s="2" t="s">
        <v>1025</v>
      </c>
      <c r="G264" s="2" t="s">
        <v>946</v>
      </c>
      <c r="H264" s="2" t="s">
        <v>1026</v>
      </c>
      <c r="I264" s="2"/>
      <c r="J264" s="2"/>
      <c r="K264" s="2" t="s">
        <v>24</v>
      </c>
      <c r="L264" s="2"/>
      <c r="M264" s="2" t="s">
        <v>24</v>
      </c>
      <c r="N264" s="2" t="s">
        <v>128</v>
      </c>
      <c r="O264" s="2" t="s">
        <v>129</v>
      </c>
      <c r="P264" s="2"/>
      <c r="Q264" s="3"/>
      <c r="R264" s="3"/>
    </row>
    <row r="265" customFormat="false" ht="35.05" hidden="false" customHeight="false" outlineLevel="0" collapsed="false">
      <c r="A265" s="2" t="n">
        <v>264</v>
      </c>
      <c r="B265" s="2" t="s">
        <v>942</v>
      </c>
      <c r="C265" s="2" t="s">
        <v>1027</v>
      </c>
      <c r="D265" s="2" t="s">
        <v>1028</v>
      </c>
      <c r="E265" s="2" t="n">
        <v>2026</v>
      </c>
      <c r="F265" s="2" t="s">
        <v>1029</v>
      </c>
      <c r="G265" s="2" t="s">
        <v>946</v>
      </c>
      <c r="H265" s="2" t="s">
        <v>1030</v>
      </c>
      <c r="I265" s="2"/>
      <c r="J265" s="2"/>
      <c r="K265" s="2" t="s">
        <v>24</v>
      </c>
      <c r="L265" s="2"/>
      <c r="M265" s="2" t="s">
        <v>24</v>
      </c>
      <c r="N265" s="2" t="s">
        <v>128</v>
      </c>
      <c r="O265" s="2" t="s">
        <v>129</v>
      </c>
      <c r="P265" s="2"/>
      <c r="Q265" s="3"/>
      <c r="R265" s="3"/>
    </row>
    <row r="266" customFormat="false" ht="35.05" hidden="false" customHeight="false" outlineLevel="0" collapsed="false">
      <c r="A266" s="2" t="n">
        <v>265</v>
      </c>
      <c r="B266" s="2" t="s">
        <v>942</v>
      </c>
      <c r="C266" s="2" t="s">
        <v>1031</v>
      </c>
      <c r="D266" s="2" t="s">
        <v>1032</v>
      </c>
      <c r="E266" s="2" t="n">
        <v>2025</v>
      </c>
      <c r="F266" s="2" t="s">
        <v>1033</v>
      </c>
      <c r="G266" s="2" t="s">
        <v>946</v>
      </c>
      <c r="H266" s="2" t="s">
        <v>1034</v>
      </c>
      <c r="I266" s="2" t="s">
        <v>24</v>
      </c>
      <c r="J266" s="2"/>
      <c r="K266" s="2" t="s">
        <v>24</v>
      </c>
      <c r="L266" s="2"/>
      <c r="M266" s="2" t="s">
        <v>24</v>
      </c>
      <c r="N266" s="2" t="s">
        <v>35</v>
      </c>
      <c r="O266" s="2" t="s">
        <v>36</v>
      </c>
      <c r="P266" s="2"/>
      <c r="Q266" s="3"/>
      <c r="R266" s="3"/>
    </row>
    <row r="267" customFormat="false" ht="35.05" hidden="false" customHeight="false" outlineLevel="0" collapsed="false">
      <c r="A267" s="2" t="n">
        <v>266</v>
      </c>
      <c r="B267" s="2" t="s">
        <v>942</v>
      </c>
      <c r="C267" s="2" t="s">
        <v>1035</v>
      </c>
      <c r="D267" s="2" t="s">
        <v>1036</v>
      </c>
      <c r="E267" s="2" t="n">
        <v>2025</v>
      </c>
      <c r="F267" s="2" t="s">
        <v>1037</v>
      </c>
      <c r="G267" s="2" t="s">
        <v>946</v>
      </c>
      <c r="H267" s="2" t="s">
        <v>1038</v>
      </c>
      <c r="I267" s="2" t="s">
        <v>24</v>
      </c>
      <c r="J267" s="2"/>
      <c r="K267" s="2" t="s">
        <v>24</v>
      </c>
      <c r="L267" s="2"/>
      <c r="M267" s="2"/>
      <c r="N267" s="2" t="s">
        <v>35</v>
      </c>
      <c r="O267" s="2" t="s">
        <v>36</v>
      </c>
      <c r="P267" s="2"/>
      <c r="Q267" s="3"/>
      <c r="R267" s="3"/>
    </row>
    <row r="268" customFormat="false" ht="35.05" hidden="false" customHeight="false" outlineLevel="0" collapsed="false">
      <c r="A268" s="2" t="n">
        <v>267</v>
      </c>
      <c r="B268" s="2" t="s">
        <v>942</v>
      </c>
      <c r="C268" s="2" t="s">
        <v>1039</v>
      </c>
      <c r="D268" s="2" t="s">
        <v>1040</v>
      </c>
      <c r="E268" s="2" t="n">
        <v>2026</v>
      </c>
      <c r="F268" s="2" t="s">
        <v>1041</v>
      </c>
      <c r="G268" s="2" t="s">
        <v>946</v>
      </c>
      <c r="H268" s="2" t="s">
        <v>1042</v>
      </c>
      <c r="I268" s="2" t="s">
        <v>24</v>
      </c>
      <c r="J268" s="2"/>
      <c r="K268" s="2" t="s">
        <v>24</v>
      </c>
      <c r="L268" s="2"/>
      <c r="M268" s="2" t="s">
        <v>24</v>
      </c>
      <c r="N268" s="2" t="s">
        <v>35</v>
      </c>
      <c r="O268" s="2" t="s">
        <v>36</v>
      </c>
      <c r="P268" s="2"/>
      <c r="Q268" s="3"/>
      <c r="R268" s="3"/>
    </row>
    <row r="269" customFormat="false" ht="35.05" hidden="false" customHeight="false" outlineLevel="0" collapsed="false">
      <c r="A269" s="2" t="n">
        <v>268</v>
      </c>
      <c r="B269" s="2" t="s">
        <v>942</v>
      </c>
      <c r="C269" s="2" t="s">
        <v>1043</v>
      </c>
      <c r="D269" s="2" t="s">
        <v>1044</v>
      </c>
      <c r="E269" s="2" t="n">
        <v>2025</v>
      </c>
      <c r="F269" s="2" t="s">
        <v>1045</v>
      </c>
      <c r="G269" s="2" t="s">
        <v>946</v>
      </c>
      <c r="H269" s="2" t="s">
        <v>1046</v>
      </c>
      <c r="I269" s="2" t="s">
        <v>24</v>
      </c>
      <c r="J269" s="2"/>
      <c r="K269" s="2"/>
      <c r="L269" s="2"/>
      <c r="M269" s="2"/>
      <c r="N269" s="2" t="s">
        <v>964</v>
      </c>
      <c r="O269" s="2" t="s">
        <v>965</v>
      </c>
      <c r="P269" s="2"/>
      <c r="Q269" s="3"/>
      <c r="R269" s="3"/>
    </row>
    <row r="270" customFormat="false" ht="57.45" hidden="false" customHeight="false" outlineLevel="0" collapsed="false">
      <c r="A270" s="2" t="n">
        <v>269</v>
      </c>
      <c r="B270" s="2" t="s">
        <v>942</v>
      </c>
      <c r="C270" s="2" t="s">
        <v>1047</v>
      </c>
      <c r="D270" s="2" t="s">
        <v>1048</v>
      </c>
      <c r="E270" s="2" t="n">
        <v>2025</v>
      </c>
      <c r="F270" s="2" t="s">
        <v>1049</v>
      </c>
      <c r="G270" s="2" t="s">
        <v>946</v>
      </c>
      <c r="H270" s="2" t="s">
        <v>1050</v>
      </c>
      <c r="I270" s="2"/>
      <c r="J270" s="2"/>
      <c r="K270" s="2" t="s">
        <v>24</v>
      </c>
      <c r="L270" s="2"/>
      <c r="M270" s="2" t="s">
        <v>24</v>
      </c>
      <c r="N270" s="2" t="s">
        <v>128</v>
      </c>
      <c r="O270" s="2" t="s">
        <v>129</v>
      </c>
      <c r="P270" s="2"/>
      <c r="Q270" s="3"/>
      <c r="R270" s="3"/>
    </row>
    <row r="271" customFormat="false" ht="35.05" hidden="false" customHeight="false" outlineLevel="0" collapsed="false">
      <c r="A271" s="2" t="n">
        <v>270</v>
      </c>
      <c r="B271" s="2" t="s">
        <v>942</v>
      </c>
      <c r="C271" s="2" t="s">
        <v>1051</v>
      </c>
      <c r="D271" s="2" t="s">
        <v>1052</v>
      </c>
      <c r="E271" s="2" t="n">
        <v>2025</v>
      </c>
      <c r="F271" s="2" t="s">
        <v>1053</v>
      </c>
      <c r="G271" s="2" t="s">
        <v>946</v>
      </c>
      <c r="H271" s="2" t="s">
        <v>1054</v>
      </c>
      <c r="I271" s="2"/>
      <c r="J271" s="2"/>
      <c r="K271" s="2" t="s">
        <v>24</v>
      </c>
      <c r="L271" s="2"/>
      <c r="M271" s="2" t="s">
        <v>24</v>
      </c>
      <c r="N271" s="2" t="s">
        <v>128</v>
      </c>
      <c r="O271" s="2" t="s">
        <v>129</v>
      </c>
      <c r="P271" s="2"/>
      <c r="Q271" s="3"/>
      <c r="R271" s="3"/>
    </row>
    <row r="272" customFormat="false" ht="23.85" hidden="false" customHeight="false" outlineLevel="0" collapsed="false">
      <c r="A272" s="2" t="n">
        <v>271</v>
      </c>
      <c r="B272" s="2" t="s">
        <v>942</v>
      </c>
      <c r="C272" s="2" t="s">
        <v>1055</v>
      </c>
      <c r="D272" s="2" t="s">
        <v>1056</v>
      </c>
      <c r="E272" s="2" t="n">
        <v>2026</v>
      </c>
      <c r="F272" s="2" t="s">
        <v>166</v>
      </c>
      <c r="G272" s="2" t="s">
        <v>1057</v>
      </c>
      <c r="H272" s="2" t="s">
        <v>1058</v>
      </c>
      <c r="I272" s="2" t="s">
        <v>24</v>
      </c>
      <c r="J272" s="2" t="s">
        <v>24</v>
      </c>
      <c r="K272" s="2" t="s">
        <v>24</v>
      </c>
      <c r="L272" s="2"/>
      <c r="M272" s="2"/>
      <c r="N272" s="2" t="s">
        <v>25</v>
      </c>
      <c r="O272" s="2" t="s">
        <v>26</v>
      </c>
      <c r="P272" s="2"/>
      <c r="Q272" s="3"/>
      <c r="R272" s="3"/>
    </row>
    <row r="273" customFormat="false" ht="46.25" hidden="false" customHeight="false" outlineLevel="0" collapsed="false">
      <c r="A273" s="2" t="n">
        <v>272</v>
      </c>
      <c r="B273" s="2" t="s">
        <v>942</v>
      </c>
      <c r="C273" s="2" t="s">
        <v>1059</v>
      </c>
      <c r="D273" s="2" t="s">
        <v>1060</v>
      </c>
      <c r="E273" s="2" t="n">
        <v>2025</v>
      </c>
      <c r="F273" s="2" t="s">
        <v>1061</v>
      </c>
      <c r="G273" s="2" t="s">
        <v>946</v>
      </c>
      <c r="H273" s="2" t="s">
        <v>1062</v>
      </c>
      <c r="I273" s="2" t="s">
        <v>24</v>
      </c>
      <c r="J273" s="2"/>
      <c r="K273" s="2" t="s">
        <v>24</v>
      </c>
      <c r="L273" s="2"/>
      <c r="M273" s="2"/>
      <c r="N273" s="2" t="s">
        <v>35</v>
      </c>
      <c r="O273" s="2" t="s">
        <v>36</v>
      </c>
      <c r="P273" s="2"/>
      <c r="Q273" s="3"/>
      <c r="R273" s="3"/>
    </row>
    <row r="274" customFormat="false" ht="35.05" hidden="false" customHeight="false" outlineLevel="0" collapsed="false">
      <c r="A274" s="2" t="n">
        <v>273</v>
      </c>
      <c r="B274" s="2" t="s">
        <v>942</v>
      </c>
      <c r="C274" s="2" t="s">
        <v>1063</v>
      </c>
      <c r="D274" s="2" t="s">
        <v>1064</v>
      </c>
      <c r="E274" s="2" t="n">
        <v>2025</v>
      </c>
      <c r="F274" s="2" t="s">
        <v>1065</v>
      </c>
      <c r="G274" s="2" t="s">
        <v>946</v>
      </c>
      <c r="H274" s="2" t="s">
        <v>1066</v>
      </c>
      <c r="I274" s="2" t="s">
        <v>24</v>
      </c>
      <c r="J274" s="2"/>
      <c r="K274" s="2" t="s">
        <v>24</v>
      </c>
      <c r="L274" s="2"/>
      <c r="M274" s="2"/>
      <c r="N274" s="2" t="s">
        <v>35</v>
      </c>
      <c r="O274" s="2" t="s">
        <v>36</v>
      </c>
      <c r="P274" s="2"/>
      <c r="Q274" s="3"/>
      <c r="R274" s="3"/>
    </row>
    <row r="275" customFormat="false" ht="35.05" hidden="false" customHeight="false" outlineLevel="0" collapsed="false">
      <c r="A275" s="2" t="n">
        <v>274</v>
      </c>
      <c r="B275" s="2" t="s">
        <v>942</v>
      </c>
      <c r="C275" s="2" t="s">
        <v>1067</v>
      </c>
      <c r="D275" s="2" t="s">
        <v>1068</v>
      </c>
      <c r="E275" s="2" t="n">
        <v>2026</v>
      </c>
      <c r="F275" s="2" t="s">
        <v>1069</v>
      </c>
      <c r="G275" s="2" t="s">
        <v>946</v>
      </c>
      <c r="H275" s="2" t="s">
        <v>1070</v>
      </c>
      <c r="I275" s="2"/>
      <c r="J275" s="2"/>
      <c r="K275" s="2" t="s">
        <v>24</v>
      </c>
      <c r="L275" s="2"/>
      <c r="M275" s="2"/>
      <c r="N275" s="2" t="s">
        <v>128</v>
      </c>
      <c r="O275" s="2" t="s">
        <v>129</v>
      </c>
      <c r="P275" s="2"/>
      <c r="Q275" s="3"/>
      <c r="R275" s="3"/>
    </row>
    <row r="276" customFormat="false" ht="35.05" hidden="false" customHeight="false" outlineLevel="0" collapsed="false">
      <c r="A276" s="2" t="n">
        <v>275</v>
      </c>
      <c r="B276" s="2" t="s">
        <v>942</v>
      </c>
      <c r="C276" s="2" t="s">
        <v>1071</v>
      </c>
      <c r="D276" s="2" t="s">
        <v>1072</v>
      </c>
      <c r="E276" s="2" t="n">
        <v>2024</v>
      </c>
      <c r="F276" s="2" t="s">
        <v>1073</v>
      </c>
      <c r="G276" s="2" t="s">
        <v>1057</v>
      </c>
      <c r="H276" s="2" t="s">
        <v>1074</v>
      </c>
      <c r="I276" s="2" t="s">
        <v>24</v>
      </c>
      <c r="J276" s="2"/>
      <c r="K276" s="2" t="s">
        <v>24</v>
      </c>
      <c r="L276" s="2"/>
      <c r="M276" s="2"/>
      <c r="N276" s="2" t="s">
        <v>35</v>
      </c>
      <c r="O276" s="2" t="s">
        <v>36</v>
      </c>
      <c r="P276" s="2"/>
      <c r="Q276" s="3"/>
      <c r="R276" s="3"/>
    </row>
    <row r="277" customFormat="false" ht="35.05" hidden="false" customHeight="false" outlineLevel="0" collapsed="false">
      <c r="A277" s="2" t="n">
        <v>276</v>
      </c>
      <c r="B277" s="2" t="s">
        <v>942</v>
      </c>
      <c r="C277" s="2" t="s">
        <v>1075</v>
      </c>
      <c r="D277" s="2" t="s">
        <v>1076</v>
      </c>
      <c r="E277" s="2" t="n">
        <v>2026</v>
      </c>
      <c r="F277" s="2" t="s">
        <v>1077</v>
      </c>
      <c r="G277" s="2" t="s">
        <v>946</v>
      </c>
      <c r="H277" s="2" t="s">
        <v>1078</v>
      </c>
      <c r="I277" s="2" t="s">
        <v>24</v>
      </c>
      <c r="J277" s="2" t="s">
        <v>24</v>
      </c>
      <c r="K277" s="2" t="s">
        <v>24</v>
      </c>
      <c r="L277" s="2"/>
      <c r="M277" s="2" t="s">
        <v>24</v>
      </c>
      <c r="N277" s="2" t="s">
        <v>35</v>
      </c>
      <c r="O277" s="2" t="s">
        <v>36</v>
      </c>
      <c r="P277" s="2"/>
      <c r="Q277" s="3"/>
      <c r="R277" s="3"/>
    </row>
    <row r="278" customFormat="false" ht="23.85" hidden="false" customHeight="false" outlineLevel="0" collapsed="false">
      <c r="A278" s="2" t="n">
        <v>277</v>
      </c>
      <c r="B278" s="2" t="s">
        <v>942</v>
      </c>
      <c r="C278" s="2" t="s">
        <v>1079</v>
      </c>
      <c r="D278" s="2" t="s">
        <v>1080</v>
      </c>
      <c r="E278" s="2" t="n">
        <v>2026</v>
      </c>
      <c r="F278" s="2" t="s">
        <v>47</v>
      </c>
      <c r="G278" s="2" t="s">
        <v>1057</v>
      </c>
      <c r="H278" s="2" t="s">
        <v>1081</v>
      </c>
      <c r="I278" s="2"/>
      <c r="J278" s="2"/>
      <c r="K278" s="2" t="s">
        <v>24</v>
      </c>
      <c r="L278" s="2"/>
      <c r="M278" s="2" t="s">
        <v>24</v>
      </c>
      <c r="N278" s="2" t="s">
        <v>128</v>
      </c>
      <c r="O278" s="2" t="s">
        <v>129</v>
      </c>
      <c r="P278" s="2"/>
      <c r="Q278" s="3"/>
      <c r="R278" s="3"/>
    </row>
    <row r="279" customFormat="false" ht="46.25" hidden="false" customHeight="false" outlineLevel="0" collapsed="false">
      <c r="A279" s="2" t="n">
        <v>278</v>
      </c>
      <c r="B279" s="2" t="s">
        <v>942</v>
      </c>
      <c r="C279" s="2" t="s">
        <v>1082</v>
      </c>
      <c r="D279" s="2" t="s">
        <v>1083</v>
      </c>
      <c r="E279" s="2" t="n">
        <v>2026</v>
      </c>
      <c r="F279" s="2" t="s">
        <v>1084</v>
      </c>
      <c r="G279" s="2" t="s">
        <v>946</v>
      </c>
      <c r="H279" s="2" t="s">
        <v>1085</v>
      </c>
      <c r="I279" s="2"/>
      <c r="J279" s="2"/>
      <c r="K279" s="2" t="s">
        <v>24</v>
      </c>
      <c r="L279" s="2"/>
      <c r="M279" s="2" t="s">
        <v>24</v>
      </c>
      <c r="N279" s="2" t="s">
        <v>128</v>
      </c>
      <c r="O279" s="2" t="s">
        <v>129</v>
      </c>
      <c r="P279" s="2"/>
      <c r="Q279" s="3"/>
      <c r="R279" s="3"/>
    </row>
    <row r="280" customFormat="false" ht="35.05" hidden="false" customHeight="false" outlineLevel="0" collapsed="false">
      <c r="A280" s="2" t="n">
        <v>279</v>
      </c>
      <c r="B280" s="2" t="s">
        <v>942</v>
      </c>
      <c r="C280" s="2" t="s">
        <v>1086</v>
      </c>
      <c r="D280" s="2" t="s">
        <v>1087</v>
      </c>
      <c r="E280" s="2" t="n">
        <v>2025</v>
      </c>
      <c r="F280" s="2" t="s">
        <v>1088</v>
      </c>
      <c r="G280" s="2" t="s">
        <v>946</v>
      </c>
      <c r="H280" s="2" t="s">
        <v>1089</v>
      </c>
      <c r="I280" s="2"/>
      <c r="J280" s="2"/>
      <c r="K280" s="2"/>
      <c r="L280" s="2"/>
      <c r="M280" s="2" t="s">
        <v>24</v>
      </c>
      <c r="N280" s="2" t="s">
        <v>128</v>
      </c>
      <c r="O280" s="2" t="s">
        <v>129</v>
      </c>
      <c r="P280" s="2"/>
      <c r="Q280" s="3"/>
      <c r="R280" s="3"/>
    </row>
    <row r="281" customFormat="false" ht="35.05" hidden="false" customHeight="false" outlineLevel="0" collapsed="false">
      <c r="A281" s="2" t="n">
        <v>280</v>
      </c>
      <c r="B281" s="2" t="s">
        <v>942</v>
      </c>
      <c r="C281" s="2" t="s">
        <v>1090</v>
      </c>
      <c r="D281" s="2" t="s">
        <v>1091</v>
      </c>
      <c r="E281" s="2" t="n">
        <v>2026</v>
      </c>
      <c r="F281" s="2" t="s">
        <v>950</v>
      </c>
      <c r="G281" s="2" t="s">
        <v>946</v>
      </c>
      <c r="H281" s="2" t="s">
        <v>1092</v>
      </c>
      <c r="I281" s="2" t="s">
        <v>24</v>
      </c>
      <c r="J281" s="2" t="s">
        <v>24</v>
      </c>
      <c r="K281" s="2" t="s">
        <v>24</v>
      </c>
      <c r="L281" s="2"/>
      <c r="M281" s="2"/>
      <c r="N281" s="2" t="s">
        <v>35</v>
      </c>
      <c r="O281" s="2" t="s">
        <v>36</v>
      </c>
      <c r="P281" s="2"/>
      <c r="Q281" s="3"/>
      <c r="R281" s="3"/>
    </row>
    <row r="282" customFormat="false" ht="35.05" hidden="false" customHeight="false" outlineLevel="0" collapsed="false">
      <c r="A282" s="2" t="n">
        <v>281</v>
      </c>
      <c r="B282" s="2" t="s">
        <v>942</v>
      </c>
      <c r="C282" s="2" t="s">
        <v>1093</v>
      </c>
      <c r="D282" s="2" t="s">
        <v>1094</v>
      </c>
      <c r="E282" s="2" t="n">
        <v>2026</v>
      </c>
      <c r="F282" s="2" t="s">
        <v>1095</v>
      </c>
      <c r="G282" s="2" t="s">
        <v>946</v>
      </c>
      <c r="H282" s="2" t="s">
        <v>1096</v>
      </c>
      <c r="I282" s="2" t="s">
        <v>24</v>
      </c>
      <c r="J282" s="2"/>
      <c r="K282" s="2"/>
      <c r="L282" s="2"/>
      <c r="M282" s="2"/>
      <c r="N282" s="2" t="s">
        <v>964</v>
      </c>
      <c r="O282" s="2" t="s">
        <v>965</v>
      </c>
      <c r="P282" s="2"/>
      <c r="Q282" s="3"/>
      <c r="R282" s="3"/>
    </row>
    <row r="283" customFormat="false" ht="46.25" hidden="false" customHeight="false" outlineLevel="0" collapsed="false">
      <c r="A283" s="2" t="n">
        <v>282</v>
      </c>
      <c r="B283" s="2" t="s">
        <v>942</v>
      </c>
      <c r="C283" s="2" t="s">
        <v>1097</v>
      </c>
      <c r="D283" s="2" t="s">
        <v>1098</v>
      </c>
      <c r="E283" s="2" t="n">
        <v>2026</v>
      </c>
      <c r="F283" s="2" t="s">
        <v>1099</v>
      </c>
      <c r="G283" s="2" t="s">
        <v>946</v>
      </c>
      <c r="H283" s="2" t="s">
        <v>1100</v>
      </c>
      <c r="I283" s="2" t="s">
        <v>24</v>
      </c>
      <c r="J283" s="2"/>
      <c r="K283" s="2" t="s">
        <v>24</v>
      </c>
      <c r="L283" s="2"/>
      <c r="M283" s="2" t="s">
        <v>24</v>
      </c>
      <c r="N283" s="2" t="s">
        <v>35</v>
      </c>
      <c r="O283" s="2" t="s">
        <v>36</v>
      </c>
      <c r="P283" s="2"/>
      <c r="Q283" s="3"/>
      <c r="R283" s="3"/>
    </row>
    <row r="284" customFormat="false" ht="35.05" hidden="false" customHeight="false" outlineLevel="0" collapsed="false">
      <c r="A284" s="2" t="n">
        <v>283</v>
      </c>
      <c r="B284" s="2" t="s">
        <v>942</v>
      </c>
      <c r="C284" s="2" t="s">
        <v>1101</v>
      </c>
      <c r="D284" s="2" t="s">
        <v>1102</v>
      </c>
      <c r="E284" s="2" t="n">
        <v>2025</v>
      </c>
      <c r="F284" s="2" t="s">
        <v>1103</v>
      </c>
      <c r="G284" s="2" t="s">
        <v>946</v>
      </c>
      <c r="H284" s="2" t="s">
        <v>1104</v>
      </c>
      <c r="I284" s="2"/>
      <c r="J284" s="2"/>
      <c r="K284" s="2" t="s">
        <v>24</v>
      </c>
      <c r="L284" s="2"/>
      <c r="M284" s="2"/>
      <c r="N284" s="2" t="s">
        <v>128</v>
      </c>
      <c r="O284" s="2" t="s">
        <v>129</v>
      </c>
      <c r="P284" s="2"/>
      <c r="Q284" s="3"/>
      <c r="R284" s="3"/>
    </row>
    <row r="285" customFormat="false" ht="46.25" hidden="false" customHeight="false" outlineLevel="0" collapsed="false">
      <c r="A285" s="2" t="n">
        <v>284</v>
      </c>
      <c r="B285" s="2" t="s">
        <v>942</v>
      </c>
      <c r="C285" s="2" t="s">
        <v>1105</v>
      </c>
      <c r="D285" s="2" t="s">
        <v>1106</v>
      </c>
      <c r="E285" s="2" t="n">
        <v>2025</v>
      </c>
      <c r="F285" s="2" t="s">
        <v>1107</v>
      </c>
      <c r="G285" s="2" t="s">
        <v>946</v>
      </c>
      <c r="H285" s="2" t="s">
        <v>1108</v>
      </c>
      <c r="I285" s="2"/>
      <c r="J285" s="2"/>
      <c r="K285" s="2"/>
      <c r="L285" s="2"/>
      <c r="M285" s="2"/>
      <c r="N285" s="2" t="s">
        <v>25</v>
      </c>
      <c r="O285" s="2" t="s">
        <v>26</v>
      </c>
      <c r="P285" s="2"/>
      <c r="Q285" s="3"/>
      <c r="R285" s="3"/>
    </row>
    <row r="286" customFormat="false" ht="23.85" hidden="false" customHeight="false" outlineLevel="0" collapsed="false">
      <c r="A286" s="2" t="n">
        <v>285</v>
      </c>
      <c r="B286" s="2" t="s">
        <v>942</v>
      </c>
      <c r="C286" s="2" t="s">
        <v>1109</v>
      </c>
      <c r="D286" s="2" t="s">
        <v>1110</v>
      </c>
      <c r="E286" s="2" t="n">
        <v>2024</v>
      </c>
      <c r="F286" s="2" t="s">
        <v>1111</v>
      </c>
      <c r="G286" s="2" t="s">
        <v>946</v>
      </c>
      <c r="H286" s="2" t="s">
        <v>1112</v>
      </c>
      <c r="I286" s="2"/>
      <c r="J286" s="2"/>
      <c r="K286" s="2" t="s">
        <v>24</v>
      </c>
      <c r="L286" s="2"/>
      <c r="M286" s="2" t="s">
        <v>24</v>
      </c>
      <c r="N286" s="2" t="s">
        <v>128</v>
      </c>
      <c r="O286" s="2" t="s">
        <v>129</v>
      </c>
      <c r="P286" s="2"/>
      <c r="Q286" s="3"/>
      <c r="R286" s="3"/>
    </row>
    <row r="287" customFormat="false" ht="35.05" hidden="false" customHeight="false" outlineLevel="0" collapsed="false">
      <c r="A287" s="2" t="n">
        <v>286</v>
      </c>
      <c r="B287" s="2" t="s">
        <v>942</v>
      </c>
      <c r="C287" s="2" t="s">
        <v>1113</v>
      </c>
      <c r="D287" s="2" t="s">
        <v>1114</v>
      </c>
      <c r="E287" s="2" t="n">
        <v>2026</v>
      </c>
      <c r="F287" s="2" t="s">
        <v>1115</v>
      </c>
      <c r="G287" s="2" t="s">
        <v>946</v>
      </c>
      <c r="H287" s="2" t="s">
        <v>1116</v>
      </c>
      <c r="I287" s="2" t="s">
        <v>24</v>
      </c>
      <c r="J287" s="2"/>
      <c r="K287" s="2" t="s">
        <v>24</v>
      </c>
      <c r="L287" s="2"/>
      <c r="M287" s="2"/>
      <c r="N287" s="2" t="s">
        <v>35</v>
      </c>
      <c r="O287" s="2" t="s">
        <v>36</v>
      </c>
      <c r="P287" s="2"/>
      <c r="Q287" s="3"/>
      <c r="R287" s="3"/>
    </row>
    <row r="288" customFormat="false" ht="35.05" hidden="false" customHeight="false" outlineLevel="0" collapsed="false">
      <c r="A288" s="2" t="n">
        <v>287</v>
      </c>
      <c r="B288" s="2" t="s">
        <v>942</v>
      </c>
      <c r="C288" s="2" t="s">
        <v>1117</v>
      </c>
      <c r="D288" s="2" t="s">
        <v>1118</v>
      </c>
      <c r="E288" s="2" t="n">
        <v>2026</v>
      </c>
      <c r="F288" s="2" t="s">
        <v>1119</v>
      </c>
      <c r="G288" s="2" t="s">
        <v>946</v>
      </c>
      <c r="H288" s="2" t="s">
        <v>1120</v>
      </c>
      <c r="I288" s="2" t="s">
        <v>24</v>
      </c>
      <c r="J288" s="2"/>
      <c r="K288" s="2" t="s">
        <v>24</v>
      </c>
      <c r="L288" s="2"/>
      <c r="M288" s="2" t="s">
        <v>24</v>
      </c>
      <c r="N288" s="2" t="s">
        <v>35</v>
      </c>
      <c r="O288" s="2" t="s">
        <v>36</v>
      </c>
      <c r="P288" s="2"/>
      <c r="Q288" s="3"/>
      <c r="R288" s="3"/>
    </row>
    <row r="289" customFormat="false" ht="46.25" hidden="false" customHeight="false" outlineLevel="0" collapsed="false">
      <c r="A289" s="2" t="n">
        <v>288</v>
      </c>
      <c r="B289" s="2" t="s">
        <v>942</v>
      </c>
      <c r="C289" s="2" t="s">
        <v>1121</v>
      </c>
      <c r="D289" s="2" t="s">
        <v>1122</v>
      </c>
      <c r="E289" s="2" t="n">
        <v>2025</v>
      </c>
      <c r="F289" s="2" t="s">
        <v>1123</v>
      </c>
      <c r="G289" s="2" t="s">
        <v>946</v>
      </c>
      <c r="H289" s="2" t="s">
        <v>1124</v>
      </c>
      <c r="I289" s="2"/>
      <c r="J289" s="2"/>
      <c r="K289" s="2" t="s">
        <v>24</v>
      </c>
      <c r="L289" s="2"/>
      <c r="M289" s="2" t="s">
        <v>24</v>
      </c>
      <c r="N289" s="2" t="s">
        <v>128</v>
      </c>
      <c r="O289" s="2" t="s">
        <v>129</v>
      </c>
      <c r="P289" s="2"/>
      <c r="Q289" s="3"/>
      <c r="R289" s="3"/>
    </row>
    <row r="290" customFormat="false" ht="35.05" hidden="false" customHeight="false" outlineLevel="0" collapsed="false">
      <c r="A290" s="2" t="n">
        <v>289</v>
      </c>
      <c r="B290" s="2" t="s">
        <v>942</v>
      </c>
      <c r="C290" s="2" t="s">
        <v>1125</v>
      </c>
      <c r="D290" s="2" t="s">
        <v>1126</v>
      </c>
      <c r="E290" s="2" t="n">
        <v>2025</v>
      </c>
      <c r="F290" s="2" t="s">
        <v>1127</v>
      </c>
      <c r="G290" s="2" t="s">
        <v>946</v>
      </c>
      <c r="H290" s="2" t="s">
        <v>1128</v>
      </c>
      <c r="I290" s="2" t="s">
        <v>24</v>
      </c>
      <c r="J290" s="2"/>
      <c r="K290" s="2"/>
      <c r="L290" s="2"/>
      <c r="M290" s="2"/>
      <c r="N290" s="2" t="s">
        <v>964</v>
      </c>
      <c r="O290" s="2" t="s">
        <v>965</v>
      </c>
      <c r="P290" s="2"/>
      <c r="Q290" s="3"/>
      <c r="R290" s="3"/>
    </row>
    <row r="291" customFormat="false" ht="35.05" hidden="false" customHeight="false" outlineLevel="0" collapsed="false">
      <c r="A291" s="2" t="n">
        <v>290</v>
      </c>
      <c r="B291" s="2" t="s">
        <v>942</v>
      </c>
      <c r="C291" s="2" t="s">
        <v>1129</v>
      </c>
      <c r="D291" s="2" t="s">
        <v>1130</v>
      </c>
      <c r="E291" s="2" t="n">
        <v>2026</v>
      </c>
      <c r="F291" s="2" t="s">
        <v>1131</v>
      </c>
      <c r="G291" s="2" t="s">
        <v>946</v>
      </c>
      <c r="H291" s="2" t="s">
        <v>1132</v>
      </c>
      <c r="I291" s="2"/>
      <c r="J291" s="2"/>
      <c r="K291" s="2" t="s">
        <v>24</v>
      </c>
      <c r="L291" s="2"/>
      <c r="M291" s="2" t="s">
        <v>24</v>
      </c>
      <c r="N291" s="2" t="s">
        <v>128</v>
      </c>
      <c r="O291" s="2" t="s">
        <v>129</v>
      </c>
      <c r="P291" s="2"/>
      <c r="Q291" s="3"/>
      <c r="R291" s="3"/>
    </row>
    <row r="292" customFormat="false" ht="35.05" hidden="false" customHeight="false" outlineLevel="0" collapsed="false">
      <c r="A292" s="2" t="n">
        <v>291</v>
      </c>
      <c r="B292" s="2" t="s">
        <v>942</v>
      </c>
      <c r="C292" s="2" t="s">
        <v>1133</v>
      </c>
      <c r="D292" s="2" t="s">
        <v>1134</v>
      </c>
      <c r="E292" s="2" t="n">
        <v>2024</v>
      </c>
      <c r="F292" s="2" t="s">
        <v>1135</v>
      </c>
      <c r="G292" s="2" t="s">
        <v>946</v>
      </c>
      <c r="H292" s="2" t="s">
        <v>1136</v>
      </c>
      <c r="I292" s="2" t="s">
        <v>24</v>
      </c>
      <c r="J292" s="2"/>
      <c r="K292" s="2"/>
      <c r="L292" s="2"/>
      <c r="M292" s="2" t="s">
        <v>24</v>
      </c>
      <c r="N292" s="2" t="s">
        <v>964</v>
      </c>
      <c r="O292" s="2" t="s">
        <v>965</v>
      </c>
      <c r="P292" s="2"/>
      <c r="Q292" s="3"/>
      <c r="R292" s="3"/>
    </row>
    <row r="293" customFormat="false" ht="46.25" hidden="false" customHeight="false" outlineLevel="0" collapsed="false">
      <c r="A293" s="2" t="n">
        <v>292</v>
      </c>
      <c r="B293" s="2" t="s">
        <v>942</v>
      </c>
      <c r="C293" s="2" t="s">
        <v>1137</v>
      </c>
      <c r="D293" s="2" t="s">
        <v>1138</v>
      </c>
      <c r="E293" s="2" t="n">
        <v>2025</v>
      </c>
      <c r="F293" s="2" t="s">
        <v>577</v>
      </c>
      <c r="G293" s="2" t="s">
        <v>1057</v>
      </c>
      <c r="H293" s="2" t="s">
        <v>1139</v>
      </c>
      <c r="I293" s="2"/>
      <c r="J293" s="2"/>
      <c r="K293" s="2" t="s">
        <v>24</v>
      </c>
      <c r="L293" s="2"/>
      <c r="M293" s="2"/>
      <c r="N293" s="2" t="s">
        <v>128</v>
      </c>
      <c r="O293" s="2" t="s">
        <v>129</v>
      </c>
      <c r="P293" s="2"/>
      <c r="Q293" s="3"/>
      <c r="R293" s="3"/>
    </row>
    <row r="294" customFormat="false" ht="23.85" hidden="false" customHeight="false" outlineLevel="0" collapsed="false">
      <c r="A294" s="2" t="n">
        <v>293</v>
      </c>
      <c r="B294" s="2" t="s">
        <v>942</v>
      </c>
      <c r="C294" s="2" t="s">
        <v>1140</v>
      </c>
      <c r="D294" s="2" t="s">
        <v>1141</v>
      </c>
      <c r="E294" s="2" t="n">
        <v>2025</v>
      </c>
      <c r="F294" s="2" t="s">
        <v>47</v>
      </c>
      <c r="G294" s="2" t="s">
        <v>1057</v>
      </c>
      <c r="H294" s="2" t="s">
        <v>1142</v>
      </c>
      <c r="I294" s="2"/>
      <c r="J294" s="2"/>
      <c r="K294" s="2" t="s">
        <v>24</v>
      </c>
      <c r="L294" s="2"/>
      <c r="M294" s="2" t="s">
        <v>24</v>
      </c>
      <c r="N294" s="2" t="s">
        <v>25</v>
      </c>
      <c r="O294" s="2" t="s">
        <v>26</v>
      </c>
      <c r="P294" s="2"/>
      <c r="Q294" s="3"/>
      <c r="R294" s="3"/>
    </row>
    <row r="295" customFormat="false" ht="35.05" hidden="false" customHeight="false" outlineLevel="0" collapsed="false">
      <c r="A295" s="2" t="n">
        <v>294</v>
      </c>
      <c r="B295" s="2" t="s">
        <v>942</v>
      </c>
      <c r="C295" s="2" t="s">
        <v>1143</v>
      </c>
      <c r="D295" s="2" t="s">
        <v>1144</v>
      </c>
      <c r="E295" s="2" t="n">
        <v>2023</v>
      </c>
      <c r="F295" s="2" t="s">
        <v>1145</v>
      </c>
      <c r="G295" s="2" t="s">
        <v>1057</v>
      </c>
      <c r="H295" s="2" t="s">
        <v>1146</v>
      </c>
      <c r="I295" s="2"/>
      <c r="J295" s="2"/>
      <c r="K295" s="2" t="s">
        <v>24</v>
      </c>
      <c r="L295" s="2"/>
      <c r="M295" s="2"/>
      <c r="N295" s="2" t="s">
        <v>25</v>
      </c>
      <c r="O295" s="2" t="s">
        <v>26</v>
      </c>
      <c r="P295" s="2"/>
      <c r="Q295" s="3"/>
      <c r="R295" s="3"/>
    </row>
    <row r="296" customFormat="false" ht="35.05" hidden="false" customHeight="false" outlineLevel="0" collapsed="false">
      <c r="A296" s="2" t="n">
        <v>295</v>
      </c>
      <c r="B296" s="2" t="s">
        <v>942</v>
      </c>
      <c r="C296" s="2" t="s">
        <v>1147</v>
      </c>
      <c r="D296" s="2" t="s">
        <v>1148</v>
      </c>
      <c r="E296" s="2" t="n">
        <v>2026</v>
      </c>
      <c r="F296" s="2" t="s">
        <v>1149</v>
      </c>
      <c r="G296" s="2" t="s">
        <v>946</v>
      </c>
      <c r="H296" s="2" t="s">
        <v>1150</v>
      </c>
      <c r="I296" s="2"/>
      <c r="J296" s="2"/>
      <c r="K296" s="2" t="s">
        <v>24</v>
      </c>
      <c r="L296" s="2"/>
      <c r="M296" s="2" t="s">
        <v>24</v>
      </c>
      <c r="N296" s="2" t="s">
        <v>128</v>
      </c>
      <c r="O296" s="2" t="s">
        <v>129</v>
      </c>
      <c r="P296" s="2"/>
      <c r="Q296" s="3"/>
      <c r="R296" s="3"/>
    </row>
    <row r="297" customFormat="false" ht="46.25" hidden="false" customHeight="false" outlineLevel="0" collapsed="false">
      <c r="A297" s="2" t="n">
        <v>296</v>
      </c>
      <c r="B297" s="2" t="s">
        <v>942</v>
      </c>
      <c r="C297" s="2" t="s">
        <v>1151</v>
      </c>
      <c r="D297" s="2" t="s">
        <v>1152</v>
      </c>
      <c r="E297" s="2" t="n">
        <v>2025</v>
      </c>
      <c r="F297" s="2" t="s">
        <v>1153</v>
      </c>
      <c r="G297" s="2" t="s">
        <v>946</v>
      </c>
      <c r="H297" s="2" t="s">
        <v>1154</v>
      </c>
      <c r="I297" s="2"/>
      <c r="J297" s="2"/>
      <c r="K297" s="2" t="s">
        <v>24</v>
      </c>
      <c r="L297" s="2"/>
      <c r="M297" s="2" t="s">
        <v>24</v>
      </c>
      <c r="N297" s="2" t="s">
        <v>128</v>
      </c>
      <c r="O297" s="2" t="s">
        <v>129</v>
      </c>
      <c r="P297" s="2"/>
      <c r="Q297" s="3"/>
      <c r="R297" s="3"/>
    </row>
    <row r="298" customFormat="false" ht="23.85" hidden="false" customHeight="false" outlineLevel="0" collapsed="false">
      <c r="A298" s="2" t="n">
        <v>297</v>
      </c>
      <c r="B298" s="2" t="s">
        <v>942</v>
      </c>
      <c r="C298" s="2" t="s">
        <v>1155</v>
      </c>
      <c r="D298" s="2" t="s">
        <v>1156</v>
      </c>
      <c r="E298" s="2" t="n">
        <v>2026</v>
      </c>
      <c r="F298" s="2" t="s">
        <v>1157</v>
      </c>
      <c r="G298" s="2" t="s">
        <v>946</v>
      </c>
      <c r="H298" s="2" t="s">
        <v>1158</v>
      </c>
      <c r="I298" s="2"/>
      <c r="J298" s="2"/>
      <c r="K298" s="2" t="s">
        <v>24</v>
      </c>
      <c r="L298" s="2"/>
      <c r="M298" s="2" t="s">
        <v>24</v>
      </c>
      <c r="N298" s="2" t="s">
        <v>128</v>
      </c>
      <c r="O298" s="2" t="s">
        <v>129</v>
      </c>
      <c r="P298" s="2"/>
      <c r="Q298" s="3"/>
      <c r="R298" s="3"/>
    </row>
    <row r="299" customFormat="false" ht="35.05" hidden="false" customHeight="false" outlineLevel="0" collapsed="false">
      <c r="A299" s="2" t="n">
        <v>298</v>
      </c>
      <c r="B299" s="2" t="s">
        <v>942</v>
      </c>
      <c r="C299" s="2" t="s">
        <v>1159</v>
      </c>
      <c r="D299" s="2" t="s">
        <v>1160</v>
      </c>
      <c r="E299" s="2" t="n">
        <v>2026</v>
      </c>
      <c r="F299" s="2" t="s">
        <v>1161</v>
      </c>
      <c r="G299" s="2" t="s">
        <v>946</v>
      </c>
      <c r="H299" s="2" t="s">
        <v>1162</v>
      </c>
      <c r="I299" s="2" t="s">
        <v>24</v>
      </c>
      <c r="J299" s="2" t="s">
        <v>24</v>
      </c>
      <c r="K299" s="2" t="s">
        <v>24</v>
      </c>
      <c r="L299" s="2"/>
      <c r="M299" s="2" t="s">
        <v>24</v>
      </c>
      <c r="N299" s="2" t="s">
        <v>122</v>
      </c>
      <c r="O299" s="2" t="s">
        <v>1163</v>
      </c>
      <c r="P299" s="2"/>
      <c r="Q299" s="3"/>
      <c r="R299" s="3"/>
    </row>
    <row r="300" customFormat="false" ht="35.05" hidden="false" customHeight="false" outlineLevel="0" collapsed="false">
      <c r="A300" s="2" t="n">
        <v>299</v>
      </c>
      <c r="B300" s="2" t="s">
        <v>942</v>
      </c>
      <c r="C300" s="2" t="s">
        <v>1164</v>
      </c>
      <c r="D300" s="2" t="s">
        <v>1165</v>
      </c>
      <c r="E300" s="2" t="n">
        <v>2026</v>
      </c>
      <c r="F300" s="2" t="s">
        <v>1166</v>
      </c>
      <c r="G300" s="2" t="s">
        <v>946</v>
      </c>
      <c r="H300" s="2" t="s">
        <v>1167</v>
      </c>
      <c r="I300" s="2" t="s">
        <v>24</v>
      </c>
      <c r="J300" s="2"/>
      <c r="K300" s="2"/>
      <c r="L300" s="2"/>
      <c r="M300" s="2" t="s">
        <v>24</v>
      </c>
      <c r="N300" s="2" t="s">
        <v>25</v>
      </c>
      <c r="O300" s="2" t="s">
        <v>26</v>
      </c>
      <c r="P300" s="2"/>
      <c r="Q300" s="3"/>
      <c r="R300" s="3"/>
    </row>
    <row r="301" customFormat="false" ht="46.25" hidden="false" customHeight="false" outlineLevel="0" collapsed="false">
      <c r="A301" s="2" t="n">
        <v>300</v>
      </c>
      <c r="B301" s="2" t="s">
        <v>942</v>
      </c>
      <c r="C301" s="2" t="s">
        <v>1168</v>
      </c>
      <c r="D301" s="2" t="s">
        <v>1169</v>
      </c>
      <c r="E301" s="2" t="n">
        <v>2026</v>
      </c>
      <c r="F301" s="2" t="s">
        <v>1170</v>
      </c>
      <c r="G301" s="2" t="s">
        <v>946</v>
      </c>
      <c r="H301" s="2" t="s">
        <v>1171</v>
      </c>
      <c r="I301" s="2" t="s">
        <v>24</v>
      </c>
      <c r="J301" s="2" t="s">
        <v>24</v>
      </c>
      <c r="K301" s="2" t="s">
        <v>24</v>
      </c>
      <c r="L301" s="2"/>
      <c r="M301" s="2"/>
      <c r="N301" s="2" t="s">
        <v>35</v>
      </c>
      <c r="O301" s="2" t="s">
        <v>36</v>
      </c>
      <c r="P301" s="2"/>
      <c r="Q301" s="3"/>
      <c r="R301" s="3"/>
    </row>
    <row r="302" customFormat="false" ht="35.05" hidden="false" customHeight="false" outlineLevel="0" collapsed="false">
      <c r="A302" s="2" t="n">
        <v>301</v>
      </c>
      <c r="B302" s="2" t="s">
        <v>942</v>
      </c>
      <c r="C302" s="2" t="s">
        <v>1172</v>
      </c>
      <c r="D302" s="2" t="s">
        <v>1173</v>
      </c>
      <c r="E302" s="2" t="n">
        <v>2026</v>
      </c>
      <c r="F302" s="2" t="s">
        <v>1174</v>
      </c>
      <c r="G302" s="2" t="s">
        <v>946</v>
      </c>
      <c r="H302" s="2" t="s">
        <v>1175</v>
      </c>
      <c r="I302" s="2" t="s">
        <v>24</v>
      </c>
      <c r="J302" s="2"/>
      <c r="K302" s="2" t="s">
        <v>24</v>
      </c>
      <c r="L302" s="2"/>
      <c r="M302" s="2" t="s">
        <v>24</v>
      </c>
      <c r="N302" s="2" t="s">
        <v>158</v>
      </c>
      <c r="O302" s="2" t="s">
        <v>159</v>
      </c>
      <c r="P302" s="2"/>
      <c r="Q302" s="3"/>
      <c r="R302" s="3"/>
    </row>
    <row r="303" customFormat="false" ht="46.25" hidden="false" customHeight="false" outlineLevel="0" collapsed="false">
      <c r="A303" s="2" t="n">
        <v>302</v>
      </c>
      <c r="B303" s="2" t="s">
        <v>942</v>
      </c>
      <c r="C303" s="2" t="s">
        <v>1176</v>
      </c>
      <c r="D303" s="2" t="s">
        <v>1177</v>
      </c>
      <c r="E303" s="2" t="n">
        <v>2025</v>
      </c>
      <c r="F303" s="2" t="s">
        <v>1178</v>
      </c>
      <c r="G303" s="2" t="s">
        <v>946</v>
      </c>
      <c r="H303" s="2" t="s">
        <v>1179</v>
      </c>
      <c r="I303" s="2" t="s">
        <v>24</v>
      </c>
      <c r="J303" s="2"/>
      <c r="K303" s="2" t="s">
        <v>24</v>
      </c>
      <c r="L303" s="2"/>
      <c r="M303" s="2"/>
      <c r="N303" s="2" t="s">
        <v>35</v>
      </c>
      <c r="O303" s="2" t="s">
        <v>36</v>
      </c>
      <c r="P303" s="2"/>
      <c r="Q303" s="3"/>
      <c r="R303" s="3"/>
    </row>
    <row r="304" customFormat="false" ht="57.45" hidden="false" customHeight="false" outlineLevel="0" collapsed="false">
      <c r="A304" s="2" t="n">
        <v>303</v>
      </c>
      <c r="B304" s="2" t="s">
        <v>942</v>
      </c>
      <c r="C304" s="2" t="s">
        <v>1180</v>
      </c>
      <c r="D304" s="2" t="s">
        <v>1181</v>
      </c>
      <c r="E304" s="2" t="n">
        <v>2026</v>
      </c>
      <c r="F304" s="2" t="s">
        <v>1182</v>
      </c>
      <c r="G304" s="2" t="s">
        <v>946</v>
      </c>
      <c r="H304" s="2" t="s">
        <v>1183</v>
      </c>
      <c r="I304" s="2" t="s">
        <v>24</v>
      </c>
      <c r="J304" s="2"/>
      <c r="K304" s="2" t="s">
        <v>24</v>
      </c>
      <c r="L304" s="2"/>
      <c r="M304" s="2"/>
      <c r="N304" s="2" t="s">
        <v>25</v>
      </c>
      <c r="O304" s="2" t="s">
        <v>26</v>
      </c>
      <c r="P304" s="2"/>
      <c r="Q304" s="3"/>
      <c r="R304" s="3"/>
    </row>
    <row r="305" customFormat="false" ht="35.05" hidden="false" customHeight="false" outlineLevel="0" collapsed="false">
      <c r="A305" s="2" t="n">
        <v>304</v>
      </c>
      <c r="B305" s="2" t="s">
        <v>942</v>
      </c>
      <c r="C305" s="2" t="s">
        <v>1184</v>
      </c>
      <c r="D305" s="2" t="s">
        <v>1185</v>
      </c>
      <c r="E305" s="2" t="n">
        <v>2026</v>
      </c>
      <c r="F305" s="2" t="s">
        <v>1186</v>
      </c>
      <c r="G305" s="2" t="s">
        <v>946</v>
      </c>
      <c r="H305" s="2" t="s">
        <v>1187</v>
      </c>
      <c r="I305" s="2"/>
      <c r="J305" s="2"/>
      <c r="K305" s="2" t="s">
        <v>24</v>
      </c>
      <c r="L305" s="2"/>
      <c r="M305" s="2" t="s">
        <v>24</v>
      </c>
      <c r="N305" s="2" t="s">
        <v>128</v>
      </c>
      <c r="O305" s="2" t="s">
        <v>129</v>
      </c>
      <c r="P305" s="2"/>
      <c r="Q305" s="3"/>
      <c r="R305" s="3"/>
    </row>
    <row r="306" customFormat="false" ht="46.25" hidden="false" customHeight="false" outlineLevel="0" collapsed="false">
      <c r="A306" s="2" t="n">
        <v>305</v>
      </c>
      <c r="B306" s="2" t="s">
        <v>942</v>
      </c>
      <c r="C306" s="2" t="s">
        <v>1188</v>
      </c>
      <c r="D306" s="2" t="s">
        <v>1189</v>
      </c>
      <c r="E306" s="2" t="n">
        <v>2025</v>
      </c>
      <c r="F306" s="2" t="s">
        <v>1190</v>
      </c>
      <c r="G306" s="2" t="s">
        <v>946</v>
      </c>
      <c r="H306" s="2" t="s">
        <v>1191</v>
      </c>
      <c r="I306" s="2" t="s">
        <v>24</v>
      </c>
      <c r="J306" s="2"/>
      <c r="K306" s="2" t="s">
        <v>24</v>
      </c>
      <c r="L306" s="2"/>
      <c r="M306" s="2"/>
      <c r="N306" s="2" t="s">
        <v>35</v>
      </c>
      <c r="O306" s="2" t="s">
        <v>36</v>
      </c>
      <c r="P306" s="2"/>
      <c r="Q306" s="3"/>
      <c r="R306" s="3"/>
    </row>
    <row r="307" customFormat="false" ht="35.05" hidden="false" customHeight="false" outlineLevel="0" collapsed="false">
      <c r="A307" s="2" t="n">
        <v>306</v>
      </c>
      <c r="B307" s="2" t="s">
        <v>942</v>
      </c>
      <c r="C307" s="2" t="s">
        <v>1192</v>
      </c>
      <c r="D307" s="2" t="s">
        <v>1193</v>
      </c>
      <c r="E307" s="2" t="n">
        <v>2025</v>
      </c>
      <c r="F307" s="2" t="s">
        <v>1194</v>
      </c>
      <c r="G307" s="2" t="s">
        <v>946</v>
      </c>
      <c r="H307" s="2" t="s">
        <v>1195</v>
      </c>
      <c r="I307" s="2" t="s">
        <v>24</v>
      </c>
      <c r="J307" s="2"/>
      <c r="K307" s="2" t="s">
        <v>24</v>
      </c>
      <c r="L307" s="2"/>
      <c r="M307" s="2" t="s">
        <v>24</v>
      </c>
      <c r="N307" s="2" t="s">
        <v>35</v>
      </c>
      <c r="O307" s="2" t="s">
        <v>36</v>
      </c>
      <c r="P307" s="2"/>
      <c r="Q307" s="3"/>
      <c r="R307" s="3"/>
    </row>
    <row r="308" customFormat="false" ht="35.05" hidden="false" customHeight="false" outlineLevel="0" collapsed="false">
      <c r="A308" s="2" t="n">
        <v>307</v>
      </c>
      <c r="B308" s="2" t="s">
        <v>942</v>
      </c>
      <c r="C308" s="2" t="s">
        <v>1196</v>
      </c>
      <c r="D308" s="2" t="s">
        <v>1197</v>
      </c>
      <c r="E308" s="2" t="n">
        <v>2026</v>
      </c>
      <c r="F308" s="2" t="s">
        <v>1198</v>
      </c>
      <c r="G308" s="2" t="s">
        <v>946</v>
      </c>
      <c r="H308" s="2" t="s">
        <v>1199</v>
      </c>
      <c r="I308" s="2"/>
      <c r="J308" s="2"/>
      <c r="K308" s="2"/>
      <c r="L308" s="2"/>
      <c r="M308" s="2"/>
      <c r="N308" s="2" t="s">
        <v>128</v>
      </c>
      <c r="O308" s="2" t="s">
        <v>129</v>
      </c>
      <c r="P308" s="2"/>
      <c r="Q308" s="3"/>
      <c r="R308" s="3"/>
    </row>
    <row r="309" customFormat="false" ht="46.25" hidden="false" customHeight="false" outlineLevel="0" collapsed="false">
      <c r="A309" s="2" t="n">
        <v>308</v>
      </c>
      <c r="B309" s="2" t="s">
        <v>942</v>
      </c>
      <c r="C309" s="2" t="s">
        <v>1200</v>
      </c>
      <c r="D309" s="2" t="s">
        <v>1201</v>
      </c>
      <c r="E309" s="2" t="n">
        <v>2026</v>
      </c>
      <c r="F309" s="2" t="s">
        <v>1202</v>
      </c>
      <c r="G309" s="2" t="s">
        <v>946</v>
      </c>
      <c r="H309" s="2" t="s">
        <v>1203</v>
      </c>
      <c r="I309" s="2"/>
      <c r="J309" s="2"/>
      <c r="K309" s="2"/>
      <c r="L309" s="2"/>
      <c r="M309" s="2"/>
      <c r="N309" s="2" t="s">
        <v>128</v>
      </c>
      <c r="O309" s="2" t="s">
        <v>129</v>
      </c>
      <c r="P309" s="2"/>
      <c r="Q309" s="3"/>
      <c r="R309" s="3"/>
    </row>
    <row r="310" customFormat="false" ht="46.25" hidden="false" customHeight="false" outlineLevel="0" collapsed="false">
      <c r="A310" s="2" t="n">
        <v>309</v>
      </c>
      <c r="B310" s="2" t="s">
        <v>942</v>
      </c>
      <c r="C310" s="2" t="s">
        <v>1204</v>
      </c>
      <c r="D310" s="2" t="s">
        <v>1205</v>
      </c>
      <c r="E310" s="2" t="n">
        <v>2025</v>
      </c>
      <c r="F310" s="2" t="s">
        <v>1206</v>
      </c>
      <c r="G310" s="2" t="s">
        <v>946</v>
      </c>
      <c r="H310" s="2" t="s">
        <v>1207</v>
      </c>
      <c r="I310" s="2"/>
      <c r="J310" s="2"/>
      <c r="K310" s="2"/>
      <c r="L310" s="2"/>
      <c r="M310" s="2" t="s">
        <v>24</v>
      </c>
      <c r="N310" s="2" t="s">
        <v>128</v>
      </c>
      <c r="O310" s="2" t="s">
        <v>129</v>
      </c>
      <c r="P310" s="2"/>
      <c r="Q310" s="3"/>
      <c r="R310" s="3"/>
    </row>
    <row r="311" customFormat="false" ht="35.05" hidden="false" customHeight="false" outlineLevel="0" collapsed="false">
      <c r="A311" s="2" t="n">
        <v>310</v>
      </c>
      <c r="B311" s="2" t="s">
        <v>942</v>
      </c>
      <c r="C311" s="2" t="s">
        <v>1208</v>
      </c>
      <c r="D311" s="2" t="s">
        <v>1209</v>
      </c>
      <c r="E311" s="2" t="n">
        <v>2025</v>
      </c>
      <c r="F311" s="2" t="s">
        <v>1210</v>
      </c>
      <c r="G311" s="2" t="s">
        <v>946</v>
      </c>
      <c r="H311" s="2" t="s">
        <v>1211</v>
      </c>
      <c r="I311" s="2" t="s">
        <v>24</v>
      </c>
      <c r="J311" s="2"/>
      <c r="K311" s="2" t="s">
        <v>24</v>
      </c>
      <c r="L311" s="2"/>
      <c r="M311" s="2" t="s">
        <v>24</v>
      </c>
      <c r="N311" s="2" t="s">
        <v>35</v>
      </c>
      <c r="O311" s="2" t="s">
        <v>36</v>
      </c>
      <c r="P311" s="2"/>
      <c r="Q311" s="3"/>
      <c r="R311" s="3"/>
    </row>
    <row r="312" customFormat="false" ht="23.85" hidden="false" customHeight="false" outlineLevel="0" collapsed="false">
      <c r="A312" s="2" t="n">
        <v>311</v>
      </c>
      <c r="B312" s="2" t="s">
        <v>942</v>
      </c>
      <c r="C312" s="2" t="s">
        <v>1212</v>
      </c>
      <c r="D312" s="2" t="s">
        <v>1213</v>
      </c>
      <c r="E312" s="2" t="n">
        <v>2025</v>
      </c>
      <c r="F312" s="2" t="s">
        <v>201</v>
      </c>
      <c r="G312" s="2" t="s">
        <v>1057</v>
      </c>
      <c r="H312" s="2" t="s">
        <v>1214</v>
      </c>
      <c r="I312" s="2" t="s">
        <v>24</v>
      </c>
      <c r="J312" s="2" t="s">
        <v>24</v>
      </c>
      <c r="K312" s="2" t="s">
        <v>24</v>
      </c>
      <c r="L312" s="2"/>
      <c r="M312" s="2" t="s">
        <v>24</v>
      </c>
      <c r="N312" s="2" t="s">
        <v>158</v>
      </c>
      <c r="O312" s="2" t="s">
        <v>159</v>
      </c>
      <c r="P312" s="2"/>
      <c r="Q312" s="3"/>
      <c r="R312" s="3"/>
    </row>
    <row r="313" customFormat="false" ht="35.05" hidden="false" customHeight="false" outlineLevel="0" collapsed="false">
      <c r="A313" s="2" t="n">
        <v>312</v>
      </c>
      <c r="B313" s="2" t="s">
        <v>942</v>
      </c>
      <c r="C313" s="2" t="s">
        <v>1215</v>
      </c>
      <c r="D313" s="2" t="s">
        <v>1216</v>
      </c>
      <c r="E313" s="2" t="n">
        <v>2025</v>
      </c>
      <c r="F313" s="2" t="s">
        <v>1217</v>
      </c>
      <c r="G313" s="2" t="s">
        <v>946</v>
      </c>
      <c r="H313" s="2" t="s">
        <v>1218</v>
      </c>
      <c r="I313" s="2"/>
      <c r="J313" s="2"/>
      <c r="K313" s="2" t="s">
        <v>24</v>
      </c>
      <c r="L313" s="2"/>
      <c r="M313" s="2"/>
      <c r="N313" s="2" t="s">
        <v>128</v>
      </c>
      <c r="O313" s="2" t="s">
        <v>129</v>
      </c>
      <c r="P313" s="2"/>
      <c r="Q313" s="3"/>
      <c r="R313" s="3"/>
    </row>
    <row r="314" customFormat="false" ht="46.25" hidden="false" customHeight="false" outlineLevel="0" collapsed="false">
      <c r="A314" s="2" t="n">
        <v>313</v>
      </c>
      <c r="B314" s="2" t="s">
        <v>942</v>
      </c>
      <c r="C314" s="2" t="s">
        <v>1219</v>
      </c>
      <c r="D314" s="2" t="s">
        <v>1220</v>
      </c>
      <c r="E314" s="2" t="n">
        <v>2026</v>
      </c>
      <c r="F314" s="2" t="s">
        <v>1221</v>
      </c>
      <c r="G314" s="2" t="s">
        <v>946</v>
      </c>
      <c r="H314" s="2" t="s">
        <v>1222</v>
      </c>
      <c r="I314" s="2"/>
      <c r="J314" s="2"/>
      <c r="K314" s="2" t="s">
        <v>24</v>
      </c>
      <c r="L314" s="2"/>
      <c r="M314" s="2"/>
      <c r="N314" s="2" t="s">
        <v>128</v>
      </c>
      <c r="O314" s="2" t="s">
        <v>129</v>
      </c>
      <c r="P314" s="2"/>
      <c r="Q314" s="3"/>
      <c r="R314" s="3"/>
    </row>
    <row r="315" customFormat="false" ht="46.25" hidden="false" customHeight="false" outlineLevel="0" collapsed="false">
      <c r="A315" s="2" t="n">
        <v>314</v>
      </c>
      <c r="B315" s="2" t="s">
        <v>942</v>
      </c>
      <c r="C315" s="2" t="s">
        <v>1223</v>
      </c>
      <c r="D315" s="2" t="s">
        <v>1224</v>
      </c>
      <c r="E315" s="2" t="n">
        <v>2025</v>
      </c>
      <c r="F315" s="2" t="s">
        <v>1225</v>
      </c>
      <c r="G315" s="2" t="s">
        <v>946</v>
      </c>
      <c r="H315" s="2" t="s">
        <v>1226</v>
      </c>
      <c r="I315" s="2"/>
      <c r="J315" s="2"/>
      <c r="K315" s="2" t="s">
        <v>24</v>
      </c>
      <c r="L315" s="2"/>
      <c r="M315" s="2" t="s">
        <v>24</v>
      </c>
      <c r="N315" s="2" t="s">
        <v>128</v>
      </c>
      <c r="O315" s="2" t="s">
        <v>129</v>
      </c>
      <c r="P315" s="2"/>
      <c r="Q315" s="3"/>
      <c r="R315" s="3"/>
    </row>
    <row r="316" customFormat="false" ht="23.85" hidden="false" customHeight="false" outlineLevel="0" collapsed="false">
      <c r="A316" s="2" t="n">
        <v>315</v>
      </c>
      <c r="B316" s="2" t="s">
        <v>942</v>
      </c>
      <c r="C316" s="2" t="s">
        <v>1227</v>
      </c>
      <c r="D316" s="2" t="s">
        <v>1228</v>
      </c>
      <c r="E316" s="2" t="n">
        <v>2025</v>
      </c>
      <c r="F316" s="2" t="s">
        <v>166</v>
      </c>
      <c r="G316" s="2" t="s">
        <v>1057</v>
      </c>
      <c r="H316" s="2" t="s">
        <v>1229</v>
      </c>
      <c r="I316" s="2"/>
      <c r="J316" s="2"/>
      <c r="K316" s="2"/>
      <c r="L316" s="2"/>
      <c r="M316" s="2"/>
      <c r="N316" s="2" t="s">
        <v>25</v>
      </c>
      <c r="O316" s="2" t="s">
        <v>26</v>
      </c>
      <c r="P316" s="2"/>
      <c r="Q316" s="3"/>
      <c r="R316" s="3"/>
    </row>
    <row r="317" customFormat="false" ht="46.25" hidden="false" customHeight="false" outlineLevel="0" collapsed="false">
      <c r="A317" s="2" t="n">
        <v>316</v>
      </c>
      <c r="B317" s="2" t="s">
        <v>942</v>
      </c>
      <c r="C317" s="2" t="s">
        <v>1230</v>
      </c>
      <c r="D317" s="2" t="s">
        <v>1231</v>
      </c>
      <c r="E317" s="2" t="n">
        <v>2026</v>
      </c>
      <c r="F317" s="2" t="s">
        <v>1232</v>
      </c>
      <c r="G317" s="2" t="s">
        <v>946</v>
      </c>
      <c r="H317" s="2" t="s">
        <v>1233</v>
      </c>
      <c r="I317" s="2"/>
      <c r="J317" s="2"/>
      <c r="K317" s="2" t="s">
        <v>24</v>
      </c>
      <c r="L317" s="2"/>
      <c r="M317" s="2" t="s">
        <v>24</v>
      </c>
      <c r="N317" s="2" t="s">
        <v>25</v>
      </c>
      <c r="O317" s="2" t="s">
        <v>26</v>
      </c>
      <c r="P317" s="2"/>
      <c r="Q317" s="3"/>
      <c r="R317" s="3"/>
    </row>
    <row r="318" customFormat="false" ht="46.25" hidden="false" customHeight="false" outlineLevel="0" collapsed="false">
      <c r="A318" s="2" t="n">
        <v>317</v>
      </c>
      <c r="B318" s="2" t="s">
        <v>942</v>
      </c>
      <c r="C318" s="2" t="s">
        <v>1234</v>
      </c>
      <c r="D318" s="2" t="s">
        <v>1235</v>
      </c>
      <c r="E318" s="2" t="n">
        <v>2026</v>
      </c>
      <c r="F318" s="2" t="s">
        <v>1236</v>
      </c>
      <c r="G318" s="2" t="s">
        <v>946</v>
      </c>
      <c r="H318" s="2" t="s">
        <v>1237</v>
      </c>
      <c r="I318" s="2"/>
      <c r="J318" s="2"/>
      <c r="K318" s="2" t="s">
        <v>24</v>
      </c>
      <c r="L318" s="2"/>
      <c r="M318" s="2" t="s">
        <v>24</v>
      </c>
      <c r="N318" s="2" t="s">
        <v>128</v>
      </c>
      <c r="O318" s="2" t="s">
        <v>129</v>
      </c>
      <c r="P318" s="2"/>
      <c r="Q318" s="3"/>
      <c r="R318" s="3"/>
    </row>
    <row r="319" customFormat="false" ht="46.25" hidden="false" customHeight="false" outlineLevel="0" collapsed="false">
      <c r="A319" s="2" t="n">
        <v>318</v>
      </c>
      <c r="B319" s="2" t="s">
        <v>942</v>
      </c>
      <c r="C319" s="2" t="s">
        <v>1238</v>
      </c>
      <c r="D319" s="2" t="s">
        <v>1239</v>
      </c>
      <c r="E319" s="2" t="n">
        <v>2026</v>
      </c>
      <c r="F319" s="2" t="s">
        <v>1221</v>
      </c>
      <c r="G319" s="2" t="s">
        <v>946</v>
      </c>
      <c r="H319" s="2" t="s">
        <v>1240</v>
      </c>
      <c r="I319" s="2" t="s">
        <v>24</v>
      </c>
      <c r="J319" s="2"/>
      <c r="K319" s="2" t="s">
        <v>24</v>
      </c>
      <c r="L319" s="2"/>
      <c r="M319" s="2"/>
      <c r="N319" s="2" t="s">
        <v>35</v>
      </c>
      <c r="O319" s="2" t="s">
        <v>36</v>
      </c>
      <c r="P319" s="2"/>
      <c r="Q319" s="3"/>
      <c r="R319" s="3"/>
    </row>
    <row r="320" customFormat="false" ht="35.05" hidden="false" customHeight="false" outlineLevel="0" collapsed="false">
      <c r="A320" s="2" t="n">
        <v>319</v>
      </c>
      <c r="B320" s="2" t="s">
        <v>942</v>
      </c>
      <c r="C320" s="2" t="s">
        <v>1241</v>
      </c>
      <c r="D320" s="2" t="s">
        <v>1242</v>
      </c>
      <c r="E320" s="2" t="n">
        <v>2026</v>
      </c>
      <c r="F320" s="2" t="s">
        <v>1243</v>
      </c>
      <c r="G320" s="2" t="s">
        <v>946</v>
      </c>
      <c r="H320" s="2" t="s">
        <v>1244</v>
      </c>
      <c r="I320" s="2" t="s">
        <v>24</v>
      </c>
      <c r="J320" s="2"/>
      <c r="K320" s="2"/>
      <c r="L320" s="2"/>
      <c r="M320" s="2"/>
      <c r="N320" s="2" t="s">
        <v>964</v>
      </c>
      <c r="O320" s="2" t="s">
        <v>965</v>
      </c>
      <c r="P320" s="2"/>
      <c r="Q320" s="3"/>
      <c r="R320" s="3"/>
    </row>
    <row r="321" customFormat="false" ht="35.05" hidden="false" customHeight="false" outlineLevel="0" collapsed="false">
      <c r="A321" s="2" t="n">
        <v>320</v>
      </c>
      <c r="B321" s="2" t="s">
        <v>942</v>
      </c>
      <c r="C321" s="2" t="s">
        <v>1245</v>
      </c>
      <c r="D321" s="2" t="s">
        <v>1246</v>
      </c>
      <c r="E321" s="2" t="n">
        <v>2024</v>
      </c>
      <c r="F321" s="2" t="s">
        <v>1247</v>
      </c>
      <c r="G321" s="2" t="s">
        <v>946</v>
      </c>
      <c r="H321" s="2" t="s">
        <v>1248</v>
      </c>
      <c r="I321" s="2"/>
      <c r="J321" s="2"/>
      <c r="K321" s="2"/>
      <c r="L321" s="2"/>
      <c r="M321" s="2"/>
      <c r="N321" s="2" t="s">
        <v>128</v>
      </c>
      <c r="O321" s="2" t="s">
        <v>129</v>
      </c>
      <c r="P321" s="2"/>
      <c r="Q321" s="3"/>
      <c r="R321" s="3"/>
    </row>
    <row r="322" customFormat="false" ht="35.05" hidden="false" customHeight="false" outlineLevel="0" collapsed="false">
      <c r="A322" s="2" t="n">
        <v>321</v>
      </c>
      <c r="B322" s="2" t="s">
        <v>942</v>
      </c>
      <c r="C322" s="2" t="s">
        <v>1249</v>
      </c>
      <c r="D322" s="2" t="s">
        <v>1250</v>
      </c>
      <c r="E322" s="2" t="n">
        <v>2025</v>
      </c>
      <c r="F322" s="2" t="s">
        <v>1251</v>
      </c>
      <c r="G322" s="2" t="s">
        <v>946</v>
      </c>
      <c r="H322" s="2" t="s">
        <v>1252</v>
      </c>
      <c r="I322" s="2"/>
      <c r="J322" s="2"/>
      <c r="K322" s="2"/>
      <c r="L322" s="2"/>
      <c r="M322" s="2"/>
      <c r="N322" s="2" t="s">
        <v>25</v>
      </c>
      <c r="O322" s="2" t="s">
        <v>26</v>
      </c>
      <c r="P322" s="2"/>
      <c r="Q322" s="3"/>
      <c r="R322" s="3"/>
    </row>
    <row r="323" customFormat="false" ht="35.05" hidden="false" customHeight="false" outlineLevel="0" collapsed="false">
      <c r="A323" s="2" t="n">
        <v>322</v>
      </c>
      <c r="B323" s="2" t="s">
        <v>942</v>
      </c>
      <c r="C323" s="2" t="s">
        <v>1253</v>
      </c>
      <c r="D323" s="2" t="s">
        <v>1254</v>
      </c>
      <c r="E323" s="2" t="n">
        <v>2024</v>
      </c>
      <c r="F323" s="2" t="s">
        <v>1255</v>
      </c>
      <c r="G323" s="2" t="s">
        <v>946</v>
      </c>
      <c r="H323" s="2" t="s">
        <v>1256</v>
      </c>
      <c r="I323" s="2" t="s">
        <v>24</v>
      </c>
      <c r="J323" s="2"/>
      <c r="K323" s="2" t="s">
        <v>24</v>
      </c>
      <c r="L323" s="2"/>
      <c r="M323" s="2" t="s">
        <v>24</v>
      </c>
      <c r="N323" s="2" t="s">
        <v>35</v>
      </c>
      <c r="O323" s="2" t="s">
        <v>36</v>
      </c>
      <c r="P323" s="2"/>
      <c r="Q323" s="3"/>
      <c r="R323" s="3"/>
    </row>
    <row r="324" customFormat="false" ht="35.05" hidden="false" customHeight="false" outlineLevel="0" collapsed="false">
      <c r="A324" s="2" t="n">
        <v>323</v>
      </c>
      <c r="B324" s="2" t="s">
        <v>942</v>
      </c>
      <c r="C324" s="2" t="s">
        <v>1257</v>
      </c>
      <c r="D324" s="2" t="s">
        <v>1258</v>
      </c>
      <c r="E324" s="2" t="n">
        <v>2026</v>
      </c>
      <c r="F324" s="2" t="s">
        <v>1259</v>
      </c>
      <c r="G324" s="2" t="s">
        <v>946</v>
      </c>
      <c r="H324" s="2" t="s">
        <v>1260</v>
      </c>
      <c r="I324" s="2" t="s">
        <v>24</v>
      </c>
      <c r="J324" s="2"/>
      <c r="K324" s="2"/>
      <c r="L324" s="2"/>
      <c r="M324" s="2"/>
      <c r="N324" s="2" t="s">
        <v>964</v>
      </c>
      <c r="O324" s="2" t="s">
        <v>965</v>
      </c>
      <c r="P324" s="2"/>
      <c r="Q324" s="3"/>
      <c r="R324" s="3"/>
    </row>
    <row r="325" customFormat="false" ht="46.25" hidden="false" customHeight="false" outlineLevel="0" collapsed="false">
      <c r="A325" s="2" t="n">
        <v>324</v>
      </c>
      <c r="B325" s="2" t="s">
        <v>942</v>
      </c>
      <c r="C325" s="2" t="s">
        <v>1261</v>
      </c>
      <c r="D325" s="2" t="s">
        <v>1262</v>
      </c>
      <c r="E325" s="2" t="n">
        <v>2026</v>
      </c>
      <c r="F325" s="2" t="s">
        <v>1263</v>
      </c>
      <c r="G325" s="2" t="s">
        <v>946</v>
      </c>
      <c r="H325" s="2" t="s">
        <v>1264</v>
      </c>
      <c r="I325" s="2"/>
      <c r="J325" s="2"/>
      <c r="K325" s="2" t="s">
        <v>24</v>
      </c>
      <c r="L325" s="2"/>
      <c r="M325" s="2" t="s">
        <v>24</v>
      </c>
      <c r="N325" s="2" t="s">
        <v>128</v>
      </c>
      <c r="O325" s="2" t="s">
        <v>129</v>
      </c>
      <c r="P325" s="2"/>
      <c r="Q325" s="3"/>
      <c r="R325" s="3"/>
    </row>
    <row r="326" customFormat="false" ht="35.05" hidden="false" customHeight="false" outlineLevel="0" collapsed="false">
      <c r="A326" s="2" t="n">
        <v>325</v>
      </c>
      <c r="B326" s="2" t="s">
        <v>942</v>
      </c>
      <c r="C326" s="2" t="s">
        <v>1265</v>
      </c>
      <c r="D326" s="2" t="s">
        <v>1266</v>
      </c>
      <c r="E326" s="2" t="n">
        <v>2024</v>
      </c>
      <c r="F326" s="2" t="s">
        <v>1267</v>
      </c>
      <c r="G326" s="2" t="s">
        <v>946</v>
      </c>
      <c r="H326" s="2" t="s">
        <v>1268</v>
      </c>
      <c r="I326" s="2"/>
      <c r="J326" s="2"/>
      <c r="K326" s="2" t="s">
        <v>24</v>
      </c>
      <c r="L326" s="2"/>
      <c r="M326" s="2" t="s">
        <v>24</v>
      </c>
      <c r="N326" s="2" t="s">
        <v>128</v>
      </c>
      <c r="O326" s="2" t="s">
        <v>129</v>
      </c>
      <c r="P326" s="2"/>
      <c r="Q326" s="3"/>
      <c r="R326" s="3"/>
    </row>
    <row r="327" customFormat="false" ht="35.05" hidden="false" customHeight="false" outlineLevel="0" collapsed="false">
      <c r="A327" s="2" t="n">
        <v>326</v>
      </c>
      <c r="B327" s="2" t="s">
        <v>942</v>
      </c>
      <c r="C327" s="2" t="s">
        <v>1269</v>
      </c>
      <c r="D327" s="2" t="s">
        <v>1270</v>
      </c>
      <c r="E327" s="2" t="n">
        <v>2026</v>
      </c>
      <c r="F327" s="2" t="s">
        <v>201</v>
      </c>
      <c r="G327" s="2" t="s">
        <v>1057</v>
      </c>
      <c r="H327" s="2" t="s">
        <v>1271</v>
      </c>
      <c r="I327" s="2"/>
      <c r="J327" s="2"/>
      <c r="K327" s="2" t="s">
        <v>24</v>
      </c>
      <c r="L327" s="2"/>
      <c r="M327" s="2" t="s">
        <v>24</v>
      </c>
      <c r="N327" s="2" t="s">
        <v>128</v>
      </c>
      <c r="O327" s="2" t="s">
        <v>129</v>
      </c>
      <c r="P327" s="2"/>
      <c r="Q327" s="3"/>
      <c r="R327" s="3"/>
    </row>
    <row r="328" customFormat="false" ht="35.05" hidden="false" customHeight="false" outlineLevel="0" collapsed="false">
      <c r="A328" s="2" t="n">
        <v>327</v>
      </c>
      <c r="B328" s="2" t="s">
        <v>942</v>
      </c>
      <c r="C328" s="2" t="s">
        <v>1272</v>
      </c>
      <c r="D328" s="2" t="s">
        <v>1273</v>
      </c>
      <c r="E328" s="2" t="n">
        <v>2025</v>
      </c>
      <c r="F328" s="2" t="s">
        <v>1274</v>
      </c>
      <c r="G328" s="2" t="s">
        <v>946</v>
      </c>
      <c r="H328" s="2" t="s">
        <v>1275</v>
      </c>
      <c r="I328" s="2"/>
      <c r="J328" s="2"/>
      <c r="K328" s="2" t="s">
        <v>24</v>
      </c>
      <c r="L328" s="2"/>
      <c r="M328" s="2" t="s">
        <v>24</v>
      </c>
      <c r="N328" s="2" t="s">
        <v>128</v>
      </c>
      <c r="O328" s="2" t="s">
        <v>129</v>
      </c>
      <c r="P328" s="2"/>
      <c r="Q328" s="3"/>
      <c r="R328" s="3"/>
    </row>
    <row r="329" customFormat="false" ht="35.05" hidden="false" customHeight="false" outlineLevel="0" collapsed="false">
      <c r="A329" s="2" t="n">
        <v>328</v>
      </c>
      <c r="B329" s="2" t="s">
        <v>942</v>
      </c>
      <c r="C329" s="2" t="s">
        <v>1276</v>
      </c>
      <c r="D329" s="2" t="s">
        <v>1277</v>
      </c>
      <c r="E329" s="2" t="n">
        <v>2025</v>
      </c>
      <c r="F329" s="2" t="s">
        <v>1278</v>
      </c>
      <c r="G329" s="2" t="s">
        <v>946</v>
      </c>
      <c r="H329" s="2" t="s">
        <v>1279</v>
      </c>
      <c r="I329" s="2" t="s">
        <v>24</v>
      </c>
      <c r="J329" s="2"/>
      <c r="K329" s="2"/>
      <c r="L329" s="2"/>
      <c r="M329" s="2"/>
      <c r="N329" s="2" t="s">
        <v>964</v>
      </c>
      <c r="O329" s="2" t="s">
        <v>965</v>
      </c>
      <c r="P329" s="2"/>
      <c r="Q329" s="3"/>
      <c r="R329" s="3"/>
    </row>
    <row r="330" customFormat="false" ht="68.65" hidden="false" customHeight="false" outlineLevel="0" collapsed="false">
      <c r="A330" s="2" t="n">
        <v>329</v>
      </c>
      <c r="B330" s="2" t="s">
        <v>942</v>
      </c>
      <c r="C330" s="2" t="s">
        <v>1280</v>
      </c>
      <c r="D330" s="2" t="s">
        <v>1281</v>
      </c>
      <c r="E330" s="2" t="n">
        <v>2026</v>
      </c>
      <c r="F330" s="2" t="s">
        <v>1282</v>
      </c>
      <c r="G330" s="2" t="s">
        <v>946</v>
      </c>
      <c r="H330" s="2" t="s">
        <v>1283</v>
      </c>
      <c r="I330" s="2"/>
      <c r="J330" s="2"/>
      <c r="K330" s="2"/>
      <c r="L330" s="2"/>
      <c r="M330" s="2" t="s">
        <v>24</v>
      </c>
      <c r="N330" s="2" t="s">
        <v>128</v>
      </c>
      <c r="O330" s="2" t="s">
        <v>129</v>
      </c>
      <c r="P330" s="2"/>
      <c r="Q330" s="3"/>
      <c r="R330" s="3"/>
    </row>
    <row r="331" customFormat="false" ht="35.05" hidden="false" customHeight="false" outlineLevel="0" collapsed="false">
      <c r="A331" s="2" t="n">
        <v>330</v>
      </c>
      <c r="B331" s="2" t="s">
        <v>942</v>
      </c>
      <c r="C331" s="2" t="s">
        <v>1284</v>
      </c>
      <c r="D331" s="2" t="s">
        <v>1285</v>
      </c>
      <c r="E331" s="2" t="n">
        <v>2025</v>
      </c>
      <c r="F331" s="2" t="s">
        <v>1286</v>
      </c>
      <c r="G331" s="2" t="s">
        <v>946</v>
      </c>
      <c r="H331" s="2" t="s">
        <v>1287</v>
      </c>
      <c r="I331" s="2"/>
      <c r="J331" s="2"/>
      <c r="K331" s="2" t="s">
        <v>24</v>
      </c>
      <c r="L331" s="2"/>
      <c r="M331" s="2" t="s">
        <v>24</v>
      </c>
      <c r="N331" s="2" t="s">
        <v>128</v>
      </c>
      <c r="O331" s="2" t="s">
        <v>129</v>
      </c>
      <c r="P331" s="2"/>
      <c r="Q331" s="3"/>
      <c r="R331" s="3"/>
    </row>
    <row r="332" customFormat="false" ht="35.05" hidden="false" customHeight="false" outlineLevel="0" collapsed="false">
      <c r="A332" s="2" t="n">
        <v>331</v>
      </c>
      <c r="B332" s="2" t="s">
        <v>942</v>
      </c>
      <c r="C332" s="2" t="s">
        <v>1288</v>
      </c>
      <c r="D332" s="2" t="s">
        <v>1289</v>
      </c>
      <c r="E332" s="2" t="n">
        <v>2024</v>
      </c>
      <c r="F332" s="2" t="s">
        <v>47</v>
      </c>
      <c r="G332" s="2" t="s">
        <v>1057</v>
      </c>
      <c r="H332" s="2" t="s">
        <v>1290</v>
      </c>
      <c r="I332" s="2"/>
      <c r="J332" s="2"/>
      <c r="K332" s="2" t="s">
        <v>24</v>
      </c>
      <c r="L332" s="2"/>
      <c r="M332" s="2"/>
      <c r="N332" s="2" t="s">
        <v>128</v>
      </c>
      <c r="O332" s="2" t="s">
        <v>129</v>
      </c>
      <c r="P332" s="2"/>
      <c r="Q332" s="3"/>
      <c r="R332" s="3"/>
    </row>
    <row r="333" customFormat="false" ht="57.45" hidden="false" customHeight="false" outlineLevel="0" collapsed="false">
      <c r="A333" s="2" t="n">
        <v>332</v>
      </c>
      <c r="B333" s="2" t="s">
        <v>942</v>
      </c>
      <c r="C333" s="2" t="s">
        <v>1291</v>
      </c>
      <c r="D333" s="2" t="s">
        <v>1292</v>
      </c>
      <c r="E333" s="2" t="n">
        <v>2025</v>
      </c>
      <c r="F333" s="2" t="s">
        <v>1293</v>
      </c>
      <c r="G333" s="2" t="s">
        <v>946</v>
      </c>
      <c r="H333" s="2" t="s">
        <v>1294</v>
      </c>
      <c r="I333" s="2"/>
      <c r="J333" s="2"/>
      <c r="K333" s="2"/>
      <c r="L333" s="2"/>
      <c r="M333" s="2" t="s">
        <v>24</v>
      </c>
      <c r="N333" s="2" t="s">
        <v>25</v>
      </c>
      <c r="O333" s="2" t="s">
        <v>26</v>
      </c>
      <c r="P333" s="2"/>
      <c r="Q333" s="3"/>
      <c r="R333" s="3"/>
    </row>
    <row r="334" customFormat="false" ht="35.05" hidden="false" customHeight="false" outlineLevel="0" collapsed="false">
      <c r="A334" s="2" t="n">
        <v>333</v>
      </c>
      <c r="B334" s="2" t="s">
        <v>942</v>
      </c>
      <c r="C334" s="2" t="s">
        <v>1295</v>
      </c>
      <c r="D334" s="2" t="s">
        <v>1296</v>
      </c>
      <c r="E334" s="2" t="n">
        <v>2024</v>
      </c>
      <c r="F334" s="2" t="s">
        <v>1297</v>
      </c>
      <c r="G334" s="2" t="s">
        <v>946</v>
      </c>
      <c r="H334" s="2" t="s">
        <v>1298</v>
      </c>
      <c r="I334" s="2" t="s">
        <v>24</v>
      </c>
      <c r="J334" s="2"/>
      <c r="K334" s="2"/>
      <c r="L334" s="2"/>
      <c r="M334" s="2" t="s">
        <v>24</v>
      </c>
      <c r="N334" s="2" t="s">
        <v>964</v>
      </c>
      <c r="O334" s="2" t="s">
        <v>965</v>
      </c>
      <c r="P334" s="2"/>
      <c r="Q334" s="3"/>
      <c r="R334" s="3"/>
    </row>
    <row r="335" customFormat="false" ht="23.85" hidden="false" customHeight="false" outlineLevel="0" collapsed="false">
      <c r="A335" s="2" t="n">
        <v>334</v>
      </c>
      <c r="B335" s="2" t="s">
        <v>942</v>
      </c>
      <c r="C335" s="2" t="s">
        <v>1299</v>
      </c>
      <c r="D335" s="2" t="s">
        <v>1300</v>
      </c>
      <c r="E335" s="2" t="n">
        <v>2026</v>
      </c>
      <c r="F335" s="2" t="s">
        <v>166</v>
      </c>
      <c r="G335" s="2" t="s">
        <v>1057</v>
      </c>
      <c r="H335" s="2" t="s">
        <v>1301</v>
      </c>
      <c r="I335" s="2" t="s">
        <v>24</v>
      </c>
      <c r="J335" s="2"/>
      <c r="K335" s="2" t="s">
        <v>24</v>
      </c>
      <c r="L335" s="2"/>
      <c r="M335" s="2" t="s">
        <v>24</v>
      </c>
      <c r="N335" s="2" t="s">
        <v>25</v>
      </c>
      <c r="O335" s="2" t="s">
        <v>26</v>
      </c>
      <c r="P335" s="2"/>
      <c r="Q335" s="3"/>
      <c r="R335" s="3"/>
    </row>
    <row r="336" customFormat="false" ht="35.05" hidden="false" customHeight="false" outlineLevel="0" collapsed="false">
      <c r="A336" s="2" t="n">
        <v>335</v>
      </c>
      <c r="B336" s="2" t="s">
        <v>942</v>
      </c>
      <c r="C336" s="2" t="s">
        <v>1302</v>
      </c>
      <c r="D336" s="2" t="s">
        <v>1303</v>
      </c>
      <c r="E336" s="2" t="n">
        <v>2026</v>
      </c>
      <c r="F336" s="2" t="s">
        <v>972</v>
      </c>
      <c r="G336" s="2" t="s">
        <v>946</v>
      </c>
      <c r="H336" s="2" t="s">
        <v>1304</v>
      </c>
      <c r="I336" s="2" t="s">
        <v>24</v>
      </c>
      <c r="J336" s="2"/>
      <c r="K336" s="2" t="s">
        <v>24</v>
      </c>
      <c r="L336" s="2"/>
      <c r="M336" s="2" t="s">
        <v>24</v>
      </c>
      <c r="N336" s="2" t="s">
        <v>35</v>
      </c>
      <c r="O336" s="2" t="s">
        <v>36</v>
      </c>
      <c r="P336" s="2"/>
      <c r="Q336" s="3"/>
      <c r="R336" s="3"/>
    </row>
    <row r="337" customFormat="false" ht="35.05" hidden="false" customHeight="false" outlineLevel="0" collapsed="false">
      <c r="A337" s="2" t="n">
        <v>336</v>
      </c>
      <c r="B337" s="2" t="s">
        <v>942</v>
      </c>
      <c r="C337" s="2" t="s">
        <v>1305</v>
      </c>
      <c r="D337" s="2" t="s">
        <v>1306</v>
      </c>
      <c r="E337" s="2" t="n">
        <v>2025</v>
      </c>
      <c r="F337" s="2" t="s">
        <v>1307</v>
      </c>
      <c r="G337" s="2" t="s">
        <v>946</v>
      </c>
      <c r="H337" s="2" t="s">
        <v>1308</v>
      </c>
      <c r="I337" s="2" t="s">
        <v>24</v>
      </c>
      <c r="J337" s="2"/>
      <c r="K337" s="2" t="s">
        <v>24</v>
      </c>
      <c r="L337" s="2"/>
      <c r="M337" s="2"/>
      <c r="N337" s="2" t="s">
        <v>158</v>
      </c>
      <c r="O337" s="2" t="s">
        <v>159</v>
      </c>
      <c r="P337" s="2"/>
      <c r="Q337" s="3"/>
      <c r="R337" s="3"/>
    </row>
    <row r="338" customFormat="false" ht="46.25" hidden="false" customHeight="false" outlineLevel="0" collapsed="false">
      <c r="A338" s="2" t="n">
        <v>337</v>
      </c>
      <c r="B338" s="2" t="s">
        <v>942</v>
      </c>
      <c r="C338" s="2" t="s">
        <v>1309</v>
      </c>
      <c r="D338" s="2" t="s">
        <v>1310</v>
      </c>
      <c r="E338" s="2" t="n">
        <v>2025</v>
      </c>
      <c r="F338" s="2" t="s">
        <v>1311</v>
      </c>
      <c r="G338" s="2" t="s">
        <v>946</v>
      </c>
      <c r="H338" s="2" t="s">
        <v>1312</v>
      </c>
      <c r="I338" s="2" t="s">
        <v>24</v>
      </c>
      <c r="J338" s="2"/>
      <c r="K338" s="2" t="s">
        <v>24</v>
      </c>
      <c r="L338" s="2"/>
      <c r="M338" s="2" t="s">
        <v>24</v>
      </c>
      <c r="N338" s="2" t="s">
        <v>35</v>
      </c>
      <c r="O338" s="2" t="s">
        <v>36</v>
      </c>
      <c r="P338" s="2"/>
      <c r="Q338" s="3"/>
      <c r="R338" s="3"/>
    </row>
    <row r="339" customFormat="false" ht="57.45" hidden="false" customHeight="false" outlineLevel="0" collapsed="false">
      <c r="A339" s="2" t="n">
        <v>338</v>
      </c>
      <c r="B339" s="2" t="s">
        <v>942</v>
      </c>
      <c r="C339" s="2" t="s">
        <v>1313</v>
      </c>
      <c r="D339" s="2" t="s">
        <v>1314</v>
      </c>
      <c r="E339" s="2" t="n">
        <v>2026</v>
      </c>
      <c r="F339" s="2" t="s">
        <v>1315</v>
      </c>
      <c r="G339" s="2" t="s">
        <v>946</v>
      </c>
      <c r="H339" s="2" t="s">
        <v>1316</v>
      </c>
      <c r="I339" s="2"/>
      <c r="J339" s="2"/>
      <c r="K339" s="2"/>
      <c r="L339" s="2"/>
      <c r="M339" s="2"/>
      <c r="N339" s="2" t="s">
        <v>25</v>
      </c>
      <c r="O339" s="2" t="s">
        <v>26</v>
      </c>
      <c r="P339" s="2"/>
      <c r="Q339" s="3"/>
      <c r="R339" s="3"/>
    </row>
    <row r="340" customFormat="false" ht="57.45" hidden="false" customHeight="false" outlineLevel="0" collapsed="false">
      <c r="A340" s="2" t="n">
        <v>339</v>
      </c>
      <c r="B340" s="2" t="s">
        <v>942</v>
      </c>
      <c r="C340" s="2" t="s">
        <v>1317</v>
      </c>
      <c r="D340" s="2" t="s">
        <v>1318</v>
      </c>
      <c r="E340" s="2" t="n">
        <v>2026</v>
      </c>
      <c r="F340" s="2" t="s">
        <v>1319</v>
      </c>
      <c r="G340" s="2" t="s">
        <v>946</v>
      </c>
      <c r="H340" s="2" t="s">
        <v>1320</v>
      </c>
      <c r="I340" s="2" t="s">
        <v>24</v>
      </c>
      <c r="J340" s="2" t="s">
        <v>24</v>
      </c>
      <c r="K340" s="2"/>
      <c r="L340" s="2"/>
      <c r="M340" s="2" t="s">
        <v>24</v>
      </c>
      <c r="N340" s="2" t="s">
        <v>964</v>
      </c>
      <c r="O340" s="2" t="s">
        <v>965</v>
      </c>
      <c r="P340" s="2"/>
      <c r="Q340" s="3"/>
      <c r="R340" s="3"/>
    </row>
    <row r="341" customFormat="false" ht="35.05" hidden="false" customHeight="false" outlineLevel="0" collapsed="false">
      <c r="A341" s="2" t="n">
        <v>340</v>
      </c>
      <c r="B341" s="2" t="s">
        <v>942</v>
      </c>
      <c r="C341" s="2" t="s">
        <v>1321</v>
      </c>
      <c r="D341" s="2" t="s">
        <v>1322</v>
      </c>
      <c r="E341" s="2" t="n">
        <v>2025</v>
      </c>
      <c r="F341" s="2" t="s">
        <v>1323</v>
      </c>
      <c r="G341" s="2" t="s">
        <v>946</v>
      </c>
      <c r="H341" s="2" t="s">
        <v>1324</v>
      </c>
      <c r="I341" s="2"/>
      <c r="J341" s="2"/>
      <c r="K341" s="2"/>
      <c r="L341" s="2"/>
      <c r="M341" s="2" t="s">
        <v>24</v>
      </c>
      <c r="N341" s="2" t="s">
        <v>128</v>
      </c>
      <c r="O341" s="2" t="s">
        <v>129</v>
      </c>
      <c r="P341" s="2"/>
      <c r="Q341" s="3"/>
      <c r="R341" s="3"/>
    </row>
    <row r="342" customFormat="false" ht="23.85" hidden="false" customHeight="false" outlineLevel="0" collapsed="false">
      <c r="A342" s="2" t="n">
        <v>341</v>
      </c>
      <c r="B342" s="2" t="s">
        <v>942</v>
      </c>
      <c r="C342" s="2" t="s">
        <v>1325</v>
      </c>
      <c r="D342" s="2" t="s">
        <v>1326</v>
      </c>
      <c r="E342" s="2" t="n">
        <v>2025</v>
      </c>
      <c r="F342" s="2" t="s">
        <v>47</v>
      </c>
      <c r="G342" s="2" t="s">
        <v>1057</v>
      </c>
      <c r="H342" s="2" t="s">
        <v>1327</v>
      </c>
      <c r="I342" s="2" t="s">
        <v>24</v>
      </c>
      <c r="J342" s="2"/>
      <c r="K342" s="2" t="s">
        <v>24</v>
      </c>
      <c r="L342" s="2"/>
      <c r="M342" s="2" t="s">
        <v>24</v>
      </c>
      <c r="N342" s="2" t="s">
        <v>25</v>
      </c>
      <c r="O342" s="2" t="s">
        <v>26</v>
      </c>
      <c r="P342" s="2"/>
      <c r="Q342" s="3"/>
      <c r="R342" s="3"/>
    </row>
    <row r="343" customFormat="false" ht="46.25" hidden="false" customHeight="false" outlineLevel="0" collapsed="false">
      <c r="A343" s="2" t="n">
        <v>342</v>
      </c>
      <c r="B343" s="2" t="s">
        <v>942</v>
      </c>
      <c r="C343" s="2" t="s">
        <v>1328</v>
      </c>
      <c r="D343" s="2" t="s">
        <v>1329</v>
      </c>
      <c r="E343" s="2" t="n">
        <v>2026</v>
      </c>
      <c r="F343" s="2" t="s">
        <v>1330</v>
      </c>
      <c r="G343" s="2" t="s">
        <v>946</v>
      </c>
      <c r="H343" s="2" t="s">
        <v>1331</v>
      </c>
      <c r="I343" s="2" t="s">
        <v>24</v>
      </c>
      <c r="J343" s="2"/>
      <c r="K343" s="2"/>
      <c r="L343" s="2" t="s">
        <v>24</v>
      </c>
      <c r="M343" s="2"/>
      <c r="N343" s="2" t="s">
        <v>35</v>
      </c>
      <c r="O343" s="2" t="s">
        <v>36</v>
      </c>
      <c r="P343" s="2"/>
      <c r="Q343" s="3"/>
      <c r="R343" s="3"/>
    </row>
    <row r="344" customFormat="false" ht="23.85" hidden="false" customHeight="false" outlineLevel="0" collapsed="false">
      <c r="A344" s="2" t="n">
        <v>343</v>
      </c>
      <c r="B344" s="2" t="s">
        <v>942</v>
      </c>
      <c r="C344" s="2" t="s">
        <v>1332</v>
      </c>
      <c r="D344" s="2" t="s">
        <v>1333</v>
      </c>
      <c r="E344" s="2" t="n">
        <v>2024</v>
      </c>
      <c r="F344" s="2" t="s">
        <v>47</v>
      </c>
      <c r="G344" s="2" t="s">
        <v>1057</v>
      </c>
      <c r="H344" s="2" t="s">
        <v>1334</v>
      </c>
      <c r="I344" s="2" t="s">
        <v>24</v>
      </c>
      <c r="J344" s="2"/>
      <c r="K344" s="2" t="s">
        <v>24</v>
      </c>
      <c r="L344" s="2"/>
      <c r="M344" s="2" t="s">
        <v>24</v>
      </c>
      <c r="N344" s="2" t="s">
        <v>35</v>
      </c>
      <c r="O344" s="2" t="s">
        <v>36</v>
      </c>
      <c r="P344" s="2"/>
      <c r="Q344" s="3"/>
      <c r="R344" s="3"/>
    </row>
    <row r="345" customFormat="false" ht="68.65" hidden="false" customHeight="false" outlineLevel="0" collapsed="false">
      <c r="A345" s="2" t="n">
        <v>344</v>
      </c>
      <c r="B345" s="2" t="s">
        <v>942</v>
      </c>
      <c r="C345" s="2" t="s">
        <v>1335</v>
      </c>
      <c r="D345" s="2" t="s">
        <v>1336</v>
      </c>
      <c r="E345" s="2" t="n">
        <v>2026</v>
      </c>
      <c r="F345" s="2" t="s">
        <v>1282</v>
      </c>
      <c r="G345" s="2" t="s">
        <v>946</v>
      </c>
      <c r="H345" s="2" t="s">
        <v>1337</v>
      </c>
      <c r="I345" s="2"/>
      <c r="J345" s="2"/>
      <c r="K345" s="2" t="s">
        <v>24</v>
      </c>
      <c r="L345" s="2"/>
      <c r="M345" s="2"/>
      <c r="N345" s="2" t="s">
        <v>128</v>
      </c>
      <c r="O345" s="2" t="s">
        <v>129</v>
      </c>
      <c r="P345" s="2"/>
      <c r="Q345" s="3"/>
      <c r="R345" s="3"/>
    </row>
    <row r="346" customFormat="false" ht="46.25" hidden="false" customHeight="false" outlineLevel="0" collapsed="false">
      <c r="A346" s="2" t="n">
        <v>345</v>
      </c>
      <c r="B346" s="2" t="s">
        <v>942</v>
      </c>
      <c r="C346" s="2" t="s">
        <v>1338</v>
      </c>
      <c r="D346" s="2" t="s">
        <v>1339</v>
      </c>
      <c r="E346" s="2" t="n">
        <v>2025</v>
      </c>
      <c r="F346" s="2" t="s">
        <v>1340</v>
      </c>
      <c r="G346" s="2" t="s">
        <v>946</v>
      </c>
      <c r="H346" s="2" t="s">
        <v>1341</v>
      </c>
      <c r="I346" s="2"/>
      <c r="J346" s="2"/>
      <c r="K346" s="2" t="s">
        <v>24</v>
      </c>
      <c r="L346" s="2"/>
      <c r="M346" s="2" t="s">
        <v>24</v>
      </c>
      <c r="N346" s="2" t="s">
        <v>128</v>
      </c>
      <c r="O346" s="2" t="s">
        <v>129</v>
      </c>
      <c r="P346" s="2"/>
      <c r="Q346" s="3"/>
      <c r="R346" s="3"/>
    </row>
    <row r="347" customFormat="false" ht="35.05" hidden="false" customHeight="false" outlineLevel="0" collapsed="false">
      <c r="A347" s="2" t="n">
        <v>346</v>
      </c>
      <c r="B347" s="2" t="s">
        <v>942</v>
      </c>
      <c r="C347" s="2" t="s">
        <v>1342</v>
      </c>
      <c r="D347" s="2" t="s">
        <v>1343</v>
      </c>
      <c r="E347" s="2" t="n">
        <v>2026</v>
      </c>
      <c r="F347" s="2" t="s">
        <v>1344</v>
      </c>
      <c r="G347" s="2" t="s">
        <v>946</v>
      </c>
      <c r="H347" s="2" t="s">
        <v>1345</v>
      </c>
      <c r="I347" s="2"/>
      <c r="J347" s="2"/>
      <c r="K347" s="2"/>
      <c r="L347" s="2"/>
      <c r="M347" s="2"/>
      <c r="N347" s="2" t="s">
        <v>128</v>
      </c>
      <c r="O347" s="2" t="s">
        <v>129</v>
      </c>
      <c r="P347" s="2"/>
      <c r="Q347" s="3"/>
      <c r="R347" s="3"/>
    </row>
    <row r="348" customFormat="false" ht="46.25" hidden="false" customHeight="false" outlineLevel="0" collapsed="false">
      <c r="A348" s="2" t="n">
        <v>347</v>
      </c>
      <c r="B348" s="2" t="s">
        <v>942</v>
      </c>
      <c r="C348" s="2" t="s">
        <v>1346</v>
      </c>
      <c r="D348" s="2" t="s">
        <v>1347</v>
      </c>
      <c r="E348" s="2" t="n">
        <v>2025</v>
      </c>
      <c r="F348" s="2" t="s">
        <v>1348</v>
      </c>
      <c r="G348" s="2" t="s">
        <v>946</v>
      </c>
      <c r="H348" s="2" t="s">
        <v>1349</v>
      </c>
      <c r="I348" s="2"/>
      <c r="J348" s="2"/>
      <c r="K348" s="2" t="s">
        <v>24</v>
      </c>
      <c r="L348" s="2"/>
      <c r="M348" s="2" t="s">
        <v>24</v>
      </c>
      <c r="N348" s="2" t="s">
        <v>25</v>
      </c>
      <c r="O348" s="2" t="s">
        <v>26</v>
      </c>
      <c r="P348" s="2"/>
      <c r="Q348" s="3"/>
      <c r="R348" s="3"/>
    </row>
    <row r="349" customFormat="false" ht="35.05" hidden="false" customHeight="false" outlineLevel="0" collapsed="false">
      <c r="A349" s="2" t="n">
        <v>348</v>
      </c>
      <c r="B349" s="2" t="s">
        <v>942</v>
      </c>
      <c r="C349" s="2" t="s">
        <v>1350</v>
      </c>
      <c r="D349" s="2" t="s">
        <v>1351</v>
      </c>
      <c r="E349" s="2" t="n">
        <v>2025</v>
      </c>
      <c r="F349" s="2" t="s">
        <v>1352</v>
      </c>
      <c r="G349" s="2" t="s">
        <v>946</v>
      </c>
      <c r="H349" s="2" t="s">
        <v>1353</v>
      </c>
      <c r="I349" s="2"/>
      <c r="J349" s="2"/>
      <c r="K349" s="2" t="s">
        <v>24</v>
      </c>
      <c r="L349" s="2"/>
      <c r="M349" s="2" t="s">
        <v>24</v>
      </c>
      <c r="N349" s="2" t="s">
        <v>128</v>
      </c>
      <c r="O349" s="2" t="s">
        <v>129</v>
      </c>
      <c r="P349" s="2"/>
      <c r="Q349" s="3"/>
      <c r="R349" s="3"/>
    </row>
    <row r="350" customFormat="false" ht="46.25" hidden="false" customHeight="false" outlineLevel="0" collapsed="false">
      <c r="A350" s="2" t="n">
        <v>349</v>
      </c>
      <c r="B350" s="2" t="s">
        <v>942</v>
      </c>
      <c r="C350" s="2" t="s">
        <v>1354</v>
      </c>
      <c r="D350" s="2" t="s">
        <v>1355</v>
      </c>
      <c r="E350" s="2" t="n">
        <v>2026</v>
      </c>
      <c r="F350" s="2" t="s">
        <v>1356</v>
      </c>
      <c r="G350" s="2" t="s">
        <v>946</v>
      </c>
      <c r="H350" s="2" t="s">
        <v>1357</v>
      </c>
      <c r="I350" s="2" t="s">
        <v>24</v>
      </c>
      <c r="J350" s="2"/>
      <c r="K350" s="2" t="s">
        <v>24</v>
      </c>
      <c r="L350" s="2"/>
      <c r="M350" s="2"/>
      <c r="N350" s="2" t="s">
        <v>35</v>
      </c>
      <c r="O350" s="2" t="s">
        <v>36</v>
      </c>
      <c r="P350" s="2"/>
      <c r="Q350" s="3"/>
      <c r="R350" s="3"/>
    </row>
    <row r="351" customFormat="false" ht="35.05" hidden="false" customHeight="false" outlineLevel="0" collapsed="false">
      <c r="A351" s="2" t="n">
        <v>350</v>
      </c>
      <c r="B351" s="2" t="s">
        <v>942</v>
      </c>
      <c r="C351" s="2" t="s">
        <v>1358</v>
      </c>
      <c r="D351" s="2" t="s">
        <v>1359</v>
      </c>
      <c r="E351" s="2" t="n">
        <v>2026</v>
      </c>
      <c r="F351" s="2" t="s">
        <v>1360</v>
      </c>
      <c r="G351" s="2" t="s">
        <v>946</v>
      </c>
      <c r="H351" s="2" t="s">
        <v>1361</v>
      </c>
      <c r="I351" s="2"/>
      <c r="J351" s="2"/>
      <c r="K351" s="2" t="s">
        <v>24</v>
      </c>
      <c r="L351" s="2"/>
      <c r="M351" s="2"/>
      <c r="N351" s="2" t="s">
        <v>128</v>
      </c>
      <c r="O351" s="2" t="s">
        <v>129</v>
      </c>
      <c r="P351" s="2"/>
      <c r="Q351" s="3"/>
      <c r="R351" s="3"/>
    </row>
    <row r="352" customFormat="false" ht="46.25" hidden="false" customHeight="false" outlineLevel="0" collapsed="false">
      <c r="A352" s="2" t="n">
        <v>351</v>
      </c>
      <c r="B352" s="2" t="s">
        <v>942</v>
      </c>
      <c r="C352" s="2" t="s">
        <v>1362</v>
      </c>
      <c r="D352" s="2" t="s">
        <v>1363</v>
      </c>
      <c r="E352" s="2" t="n">
        <v>2025</v>
      </c>
      <c r="F352" s="2" t="s">
        <v>1364</v>
      </c>
      <c r="G352" s="2" t="s">
        <v>946</v>
      </c>
      <c r="H352" s="2" t="s">
        <v>1365</v>
      </c>
      <c r="I352" s="2" t="s">
        <v>24</v>
      </c>
      <c r="J352" s="2"/>
      <c r="K352" s="2" t="s">
        <v>24</v>
      </c>
      <c r="L352" s="2"/>
      <c r="M352" s="2"/>
      <c r="N352" s="2" t="s">
        <v>35</v>
      </c>
      <c r="O352" s="2" t="s">
        <v>36</v>
      </c>
      <c r="P352" s="2"/>
      <c r="Q352" s="3"/>
      <c r="R352" s="3"/>
    </row>
    <row r="353" customFormat="false" ht="35.05" hidden="false" customHeight="false" outlineLevel="0" collapsed="false">
      <c r="A353" s="2" t="n">
        <v>352</v>
      </c>
      <c r="B353" s="2" t="s">
        <v>942</v>
      </c>
      <c r="C353" s="2" t="s">
        <v>1366</v>
      </c>
      <c r="D353" s="2" t="s">
        <v>1367</v>
      </c>
      <c r="E353" s="2" t="n">
        <v>2025</v>
      </c>
      <c r="F353" s="2" t="s">
        <v>1323</v>
      </c>
      <c r="G353" s="2" t="s">
        <v>946</v>
      </c>
      <c r="H353" s="2" t="s">
        <v>1368</v>
      </c>
      <c r="I353" s="2"/>
      <c r="J353" s="2"/>
      <c r="K353" s="2" t="s">
        <v>24</v>
      </c>
      <c r="L353" s="2"/>
      <c r="M353" s="2" t="s">
        <v>24</v>
      </c>
      <c r="N353" s="2" t="s">
        <v>128</v>
      </c>
      <c r="O353" s="2" t="s">
        <v>129</v>
      </c>
      <c r="P353" s="2"/>
      <c r="Q353" s="3"/>
      <c r="R353" s="3"/>
    </row>
    <row r="354" customFormat="false" ht="46.25" hidden="false" customHeight="false" outlineLevel="0" collapsed="false">
      <c r="A354" s="2" t="n">
        <v>353</v>
      </c>
      <c r="B354" s="2" t="s">
        <v>942</v>
      </c>
      <c r="C354" s="2" t="s">
        <v>1369</v>
      </c>
      <c r="D354" s="2" t="s">
        <v>1370</v>
      </c>
      <c r="E354" s="2" t="n">
        <v>2025</v>
      </c>
      <c r="F354" s="2" t="s">
        <v>1371</v>
      </c>
      <c r="G354" s="2" t="s">
        <v>946</v>
      </c>
      <c r="H354" s="2" t="s">
        <v>1372</v>
      </c>
      <c r="I354" s="2"/>
      <c r="J354" s="2"/>
      <c r="K354" s="2" t="s">
        <v>24</v>
      </c>
      <c r="L354" s="2"/>
      <c r="M354" s="2"/>
      <c r="N354" s="2" t="s">
        <v>128</v>
      </c>
      <c r="O354" s="2" t="s">
        <v>129</v>
      </c>
      <c r="P354" s="2"/>
      <c r="Q354" s="3"/>
      <c r="R354" s="3"/>
    </row>
    <row r="355" customFormat="false" ht="35.05" hidden="false" customHeight="false" outlineLevel="0" collapsed="false">
      <c r="A355" s="2" t="n">
        <v>354</v>
      </c>
      <c r="B355" s="2" t="s">
        <v>942</v>
      </c>
      <c r="C355" s="2" t="s">
        <v>1373</v>
      </c>
      <c r="D355" s="2" t="s">
        <v>1374</v>
      </c>
      <c r="E355" s="2" t="n">
        <v>2025</v>
      </c>
      <c r="F355" s="2" t="s">
        <v>1375</v>
      </c>
      <c r="G355" s="2" t="s">
        <v>946</v>
      </c>
      <c r="H355" s="2" t="s">
        <v>1376</v>
      </c>
      <c r="I355" s="2"/>
      <c r="J355" s="2"/>
      <c r="K355" s="2"/>
      <c r="L355" s="2"/>
      <c r="M355" s="2" t="s">
        <v>24</v>
      </c>
      <c r="N355" s="2" t="s">
        <v>128</v>
      </c>
      <c r="O355" s="2" t="s">
        <v>129</v>
      </c>
      <c r="P355" s="2"/>
      <c r="Q355" s="3"/>
      <c r="R355" s="3"/>
    </row>
    <row r="356" customFormat="false" ht="46.25" hidden="false" customHeight="false" outlineLevel="0" collapsed="false">
      <c r="A356" s="2" t="n">
        <v>355</v>
      </c>
      <c r="B356" s="2" t="s">
        <v>942</v>
      </c>
      <c r="C356" s="2" t="s">
        <v>1377</v>
      </c>
      <c r="D356" s="2" t="s">
        <v>1378</v>
      </c>
      <c r="E356" s="2" t="n">
        <v>2025</v>
      </c>
      <c r="F356" s="2" t="s">
        <v>1379</v>
      </c>
      <c r="G356" s="2" t="s">
        <v>946</v>
      </c>
      <c r="H356" s="2" t="s">
        <v>1380</v>
      </c>
      <c r="I356" s="2" t="s">
        <v>24</v>
      </c>
      <c r="J356" s="2"/>
      <c r="K356" s="2" t="s">
        <v>24</v>
      </c>
      <c r="L356" s="2"/>
      <c r="M356" s="2"/>
      <c r="N356" s="2" t="s">
        <v>35</v>
      </c>
      <c r="O356" s="2" t="s">
        <v>36</v>
      </c>
      <c r="P356" s="2"/>
      <c r="Q356" s="3"/>
      <c r="R356" s="3"/>
    </row>
    <row r="357" customFormat="false" ht="35.05" hidden="false" customHeight="false" outlineLevel="0" collapsed="false">
      <c r="A357" s="4" t="n">
        <v>356</v>
      </c>
      <c r="B357" s="4" t="s">
        <v>942</v>
      </c>
      <c r="C357" s="4" t="s">
        <v>1381</v>
      </c>
      <c r="D357" s="4" t="s">
        <v>1382</v>
      </c>
      <c r="E357" s="4" t="n">
        <v>2025</v>
      </c>
      <c r="F357" s="4" t="s">
        <v>1383</v>
      </c>
      <c r="G357" s="4" t="s">
        <v>946</v>
      </c>
      <c r="H357" s="4" t="s">
        <v>1384</v>
      </c>
      <c r="I357" s="4" t="s">
        <v>24</v>
      </c>
      <c r="J357" s="4" t="s">
        <v>24</v>
      </c>
      <c r="K357" s="4" t="s">
        <v>24</v>
      </c>
      <c r="L357" s="4" t="s">
        <v>24</v>
      </c>
      <c r="M357" s="4" t="s">
        <v>24</v>
      </c>
      <c r="N357" s="4" t="s">
        <v>35</v>
      </c>
      <c r="O357" s="4" t="s">
        <v>36</v>
      </c>
      <c r="P357" s="4" t="s">
        <v>107</v>
      </c>
      <c r="Q357" s="5"/>
      <c r="R357" s="5"/>
    </row>
    <row r="358" customFormat="false" ht="46.25" hidden="false" customHeight="false" outlineLevel="0" collapsed="false">
      <c r="A358" s="2" t="n">
        <v>357</v>
      </c>
      <c r="B358" s="2" t="s">
        <v>942</v>
      </c>
      <c r="C358" s="2" t="s">
        <v>1385</v>
      </c>
      <c r="D358" s="2" t="s">
        <v>1386</v>
      </c>
      <c r="E358" s="2" t="n">
        <v>2026</v>
      </c>
      <c r="F358" s="2" t="s">
        <v>1263</v>
      </c>
      <c r="G358" s="2" t="s">
        <v>946</v>
      </c>
      <c r="H358" s="2" t="s">
        <v>1387</v>
      </c>
      <c r="I358" s="2" t="s">
        <v>24</v>
      </c>
      <c r="J358" s="2"/>
      <c r="K358" s="2" t="s">
        <v>24</v>
      </c>
      <c r="L358" s="2"/>
      <c r="M358" s="2" t="s">
        <v>24</v>
      </c>
      <c r="N358" s="2" t="s">
        <v>35</v>
      </c>
      <c r="O358" s="2" t="s">
        <v>36</v>
      </c>
      <c r="P358" s="2"/>
      <c r="Q358" s="3"/>
      <c r="R358" s="3"/>
    </row>
    <row r="359" customFormat="false" ht="23.85" hidden="false" customHeight="false" outlineLevel="0" collapsed="false">
      <c r="A359" s="2" t="n">
        <v>358</v>
      </c>
      <c r="B359" s="2" t="s">
        <v>942</v>
      </c>
      <c r="C359" s="2" t="s">
        <v>1388</v>
      </c>
      <c r="D359" s="2" t="s">
        <v>1389</v>
      </c>
      <c r="E359" s="2" t="n">
        <v>2025</v>
      </c>
      <c r="F359" s="2" t="s">
        <v>47</v>
      </c>
      <c r="G359" s="2" t="s">
        <v>1057</v>
      </c>
      <c r="H359" s="2" t="s">
        <v>1390</v>
      </c>
      <c r="I359" s="2" t="s">
        <v>24</v>
      </c>
      <c r="J359" s="2"/>
      <c r="K359" s="2" t="s">
        <v>24</v>
      </c>
      <c r="L359" s="2"/>
      <c r="M359" s="2"/>
      <c r="N359" s="2" t="s">
        <v>25</v>
      </c>
      <c r="O359" s="2" t="s">
        <v>26</v>
      </c>
      <c r="P359" s="2"/>
      <c r="Q359" s="3"/>
      <c r="R359" s="3"/>
    </row>
    <row r="360" customFormat="false" ht="35.05" hidden="false" customHeight="false" outlineLevel="0" collapsed="false">
      <c r="A360" s="2" t="n">
        <v>359</v>
      </c>
      <c r="B360" s="2" t="s">
        <v>942</v>
      </c>
      <c r="C360" s="2" t="s">
        <v>1391</v>
      </c>
      <c r="D360" s="2" t="s">
        <v>1392</v>
      </c>
      <c r="E360" s="2" t="n">
        <v>2024</v>
      </c>
      <c r="F360" s="2" t="s">
        <v>1393</v>
      </c>
      <c r="G360" s="2" t="s">
        <v>946</v>
      </c>
      <c r="H360" s="2" t="s">
        <v>1394</v>
      </c>
      <c r="I360" s="2"/>
      <c r="J360" s="2"/>
      <c r="K360" s="2" t="s">
        <v>24</v>
      </c>
      <c r="L360" s="2"/>
      <c r="M360" s="2"/>
      <c r="N360" s="2" t="s">
        <v>128</v>
      </c>
      <c r="O360" s="2" t="s">
        <v>129</v>
      </c>
      <c r="P360" s="2"/>
      <c r="Q360" s="3"/>
      <c r="R360" s="3"/>
    </row>
    <row r="361" customFormat="false" ht="23.85" hidden="false" customHeight="false" outlineLevel="0" collapsed="false">
      <c r="A361" s="2" t="n">
        <v>360</v>
      </c>
      <c r="B361" s="2" t="s">
        <v>942</v>
      </c>
      <c r="C361" s="2" t="s">
        <v>1395</v>
      </c>
      <c r="D361" s="2" t="s">
        <v>1396</v>
      </c>
      <c r="E361" s="2" t="n">
        <v>2025</v>
      </c>
      <c r="F361" s="2" t="s">
        <v>1397</v>
      </c>
      <c r="G361" s="2" t="s">
        <v>946</v>
      </c>
      <c r="H361" s="2" t="s">
        <v>1398</v>
      </c>
      <c r="I361" s="2"/>
      <c r="J361" s="2"/>
      <c r="K361" s="2" t="s">
        <v>24</v>
      </c>
      <c r="L361" s="2"/>
      <c r="M361" s="2"/>
      <c r="N361" s="2" t="s">
        <v>128</v>
      </c>
      <c r="O361" s="2" t="s">
        <v>129</v>
      </c>
      <c r="P361" s="2"/>
      <c r="Q361" s="3"/>
      <c r="R361" s="3"/>
    </row>
    <row r="362" customFormat="false" ht="46.25" hidden="false" customHeight="false" outlineLevel="0" collapsed="false">
      <c r="A362" s="2" t="n">
        <v>361</v>
      </c>
      <c r="B362" s="2" t="s">
        <v>942</v>
      </c>
      <c r="C362" s="2" t="s">
        <v>1399</v>
      </c>
      <c r="D362" s="2" t="s">
        <v>1400</v>
      </c>
      <c r="E362" s="2" t="n">
        <v>2026</v>
      </c>
      <c r="F362" s="2" t="s">
        <v>1401</v>
      </c>
      <c r="G362" s="2" t="s">
        <v>946</v>
      </c>
      <c r="H362" s="2" t="s">
        <v>1402</v>
      </c>
      <c r="I362" s="2" t="s">
        <v>24</v>
      </c>
      <c r="J362" s="2" t="s">
        <v>24</v>
      </c>
      <c r="K362" s="2" t="s">
        <v>24</v>
      </c>
      <c r="L362" s="2"/>
      <c r="M362" s="2" t="s">
        <v>24</v>
      </c>
      <c r="N362" s="2" t="s">
        <v>25</v>
      </c>
      <c r="O362" s="2" t="s">
        <v>26</v>
      </c>
      <c r="P362" s="2"/>
      <c r="Q362" s="3"/>
      <c r="R362" s="3"/>
    </row>
    <row r="363" customFormat="false" ht="46.25" hidden="false" customHeight="false" outlineLevel="0" collapsed="false">
      <c r="A363" s="2" t="n">
        <v>362</v>
      </c>
      <c r="B363" s="2" t="s">
        <v>942</v>
      </c>
      <c r="C363" s="2" t="s">
        <v>1403</v>
      </c>
      <c r="D363" s="2" t="s">
        <v>1404</v>
      </c>
      <c r="E363" s="2" t="n">
        <v>2025</v>
      </c>
      <c r="F363" s="2" t="s">
        <v>1017</v>
      </c>
      <c r="G363" s="2" t="s">
        <v>946</v>
      </c>
      <c r="H363" s="2" t="s">
        <v>1405</v>
      </c>
      <c r="I363" s="2"/>
      <c r="J363" s="2"/>
      <c r="K363" s="2" t="s">
        <v>24</v>
      </c>
      <c r="L363" s="2"/>
      <c r="M363" s="2" t="s">
        <v>24</v>
      </c>
      <c r="N363" s="2" t="s">
        <v>128</v>
      </c>
      <c r="O363" s="2" t="s">
        <v>129</v>
      </c>
      <c r="P363" s="2"/>
      <c r="Q363" s="3"/>
      <c r="R363" s="3"/>
    </row>
    <row r="364" customFormat="false" ht="35.05" hidden="false" customHeight="false" outlineLevel="0" collapsed="false">
      <c r="A364" s="2" t="n">
        <v>363</v>
      </c>
      <c r="B364" s="2" t="s">
        <v>942</v>
      </c>
      <c r="C364" s="2" t="s">
        <v>1406</v>
      </c>
      <c r="D364" s="2" t="s">
        <v>1407</v>
      </c>
      <c r="E364" s="2" t="n">
        <v>2025</v>
      </c>
      <c r="F364" s="2" t="s">
        <v>1408</v>
      </c>
      <c r="G364" s="2" t="s">
        <v>1057</v>
      </c>
      <c r="H364" s="2" t="s">
        <v>1409</v>
      </c>
      <c r="I364" s="2"/>
      <c r="J364" s="2"/>
      <c r="K364" s="2" t="s">
        <v>24</v>
      </c>
      <c r="L364" s="2"/>
      <c r="M364" s="2"/>
      <c r="N364" s="2" t="s">
        <v>25</v>
      </c>
      <c r="O364" s="2" t="s">
        <v>26</v>
      </c>
      <c r="P364" s="2"/>
      <c r="Q364" s="3"/>
      <c r="R364" s="3"/>
    </row>
    <row r="365" customFormat="false" ht="23.85" hidden="false" customHeight="false" outlineLevel="0" collapsed="false">
      <c r="A365" s="2" t="n">
        <v>364</v>
      </c>
      <c r="B365" s="2" t="s">
        <v>942</v>
      </c>
      <c r="C365" s="2" t="s">
        <v>1410</v>
      </c>
      <c r="D365" s="2" t="s">
        <v>1411</v>
      </c>
      <c r="E365" s="2" t="n">
        <v>2026</v>
      </c>
      <c r="F365" s="2" t="s">
        <v>47</v>
      </c>
      <c r="G365" s="2" t="s">
        <v>1057</v>
      </c>
      <c r="H365" s="2" t="s">
        <v>1412</v>
      </c>
      <c r="I365" s="2"/>
      <c r="J365" s="2"/>
      <c r="K365" s="2" t="s">
        <v>24</v>
      </c>
      <c r="L365" s="2"/>
      <c r="M365" s="2" t="s">
        <v>24</v>
      </c>
      <c r="N365" s="2" t="s">
        <v>128</v>
      </c>
      <c r="O365" s="2" t="s">
        <v>129</v>
      </c>
      <c r="P365" s="2"/>
      <c r="Q365" s="3"/>
      <c r="R365" s="3"/>
    </row>
    <row r="366" customFormat="false" ht="35.05" hidden="false" customHeight="false" outlineLevel="0" collapsed="false">
      <c r="A366" s="2" t="n">
        <v>365</v>
      </c>
      <c r="B366" s="2" t="s">
        <v>942</v>
      </c>
      <c r="C366" s="2" t="s">
        <v>1413</v>
      </c>
      <c r="D366" s="2" t="s">
        <v>1414</v>
      </c>
      <c r="E366" s="2" t="n">
        <v>2026</v>
      </c>
      <c r="F366" s="2" t="s">
        <v>1415</v>
      </c>
      <c r="G366" s="2" t="s">
        <v>946</v>
      </c>
      <c r="H366" s="2" t="s">
        <v>1416</v>
      </c>
      <c r="I366" s="2" t="s">
        <v>24</v>
      </c>
      <c r="J366" s="2" t="s">
        <v>24</v>
      </c>
      <c r="K366" s="2" t="s">
        <v>24</v>
      </c>
      <c r="L366" s="2"/>
      <c r="M366" s="2"/>
      <c r="N366" s="2" t="s">
        <v>35</v>
      </c>
      <c r="O366" s="2" t="s">
        <v>36</v>
      </c>
      <c r="P366" s="2"/>
      <c r="Q366" s="3"/>
      <c r="R366" s="3"/>
    </row>
    <row r="367" customFormat="false" ht="68.65" hidden="false" customHeight="false" outlineLevel="0" collapsed="false">
      <c r="A367" s="2" t="n">
        <v>366</v>
      </c>
      <c r="B367" s="2" t="s">
        <v>942</v>
      </c>
      <c r="C367" s="2" t="s">
        <v>1417</v>
      </c>
      <c r="D367" s="2" t="s">
        <v>1418</v>
      </c>
      <c r="E367" s="2" t="n">
        <v>2025</v>
      </c>
      <c r="F367" s="2" t="s">
        <v>1419</v>
      </c>
      <c r="G367" s="2" t="s">
        <v>946</v>
      </c>
      <c r="H367" s="2" t="s">
        <v>1420</v>
      </c>
      <c r="I367" s="2"/>
      <c r="J367" s="2"/>
      <c r="K367" s="2" t="s">
        <v>24</v>
      </c>
      <c r="L367" s="2"/>
      <c r="M367" s="2"/>
      <c r="N367" s="2" t="s">
        <v>25</v>
      </c>
      <c r="O367" s="2" t="s">
        <v>26</v>
      </c>
      <c r="P367" s="2"/>
      <c r="Q367" s="3"/>
      <c r="R367" s="3"/>
    </row>
    <row r="368" customFormat="false" ht="46.25" hidden="false" customHeight="false" outlineLevel="0" collapsed="false">
      <c r="A368" s="2" t="n">
        <v>367</v>
      </c>
      <c r="B368" s="2" t="s">
        <v>942</v>
      </c>
      <c r="C368" s="2" t="s">
        <v>1421</v>
      </c>
      <c r="D368" s="2" t="s">
        <v>1422</v>
      </c>
      <c r="E368" s="2" t="n">
        <v>2025</v>
      </c>
      <c r="F368" s="2" t="s">
        <v>1423</v>
      </c>
      <c r="G368" s="2" t="s">
        <v>946</v>
      </c>
      <c r="H368" s="2" t="s">
        <v>1424</v>
      </c>
      <c r="I368" s="2"/>
      <c r="J368" s="2"/>
      <c r="K368" s="2" t="s">
        <v>24</v>
      </c>
      <c r="L368" s="2"/>
      <c r="M368" s="2" t="s">
        <v>24</v>
      </c>
      <c r="N368" s="2" t="s">
        <v>25</v>
      </c>
      <c r="O368" s="2" t="s">
        <v>26</v>
      </c>
      <c r="P368" s="2"/>
      <c r="Q368" s="3"/>
      <c r="R368" s="3"/>
    </row>
    <row r="369" customFormat="false" ht="35.05" hidden="false" customHeight="false" outlineLevel="0" collapsed="false">
      <c r="A369" s="2" t="n">
        <v>368</v>
      </c>
      <c r="B369" s="2" t="s">
        <v>942</v>
      </c>
      <c r="C369" s="2" t="s">
        <v>1425</v>
      </c>
      <c r="D369" s="2" t="s">
        <v>1426</v>
      </c>
      <c r="E369" s="2" t="n">
        <v>2025</v>
      </c>
      <c r="F369" s="2" t="s">
        <v>1427</v>
      </c>
      <c r="G369" s="2" t="s">
        <v>946</v>
      </c>
      <c r="H369" s="2" t="s">
        <v>1428</v>
      </c>
      <c r="I369" s="2"/>
      <c r="J369" s="2"/>
      <c r="K369" s="2"/>
      <c r="L369" s="2"/>
      <c r="M369" s="2" t="s">
        <v>24</v>
      </c>
      <c r="N369" s="2" t="s">
        <v>128</v>
      </c>
      <c r="O369" s="2" t="s">
        <v>129</v>
      </c>
      <c r="P369" s="2"/>
      <c r="Q369" s="3"/>
      <c r="R369" s="3"/>
    </row>
    <row r="370" customFormat="false" ht="46.25" hidden="false" customHeight="false" outlineLevel="0" collapsed="false">
      <c r="A370" s="2" t="n">
        <v>369</v>
      </c>
      <c r="B370" s="2" t="s">
        <v>942</v>
      </c>
      <c r="C370" s="2" t="s">
        <v>1429</v>
      </c>
      <c r="D370" s="2" t="s">
        <v>1430</v>
      </c>
      <c r="E370" s="2" t="n">
        <v>2025</v>
      </c>
      <c r="F370" s="2" t="s">
        <v>1017</v>
      </c>
      <c r="G370" s="2" t="s">
        <v>946</v>
      </c>
      <c r="H370" s="2" t="s">
        <v>1431</v>
      </c>
      <c r="I370" s="2"/>
      <c r="J370" s="2"/>
      <c r="K370" s="2" t="s">
        <v>24</v>
      </c>
      <c r="L370" s="2"/>
      <c r="M370" s="2"/>
      <c r="N370" s="2" t="s">
        <v>128</v>
      </c>
      <c r="O370" s="2" t="s">
        <v>129</v>
      </c>
      <c r="P370" s="2"/>
      <c r="Q370" s="3"/>
      <c r="R370" s="3"/>
    </row>
    <row r="371" customFormat="false" ht="35.05" hidden="false" customHeight="false" outlineLevel="0" collapsed="false">
      <c r="A371" s="2" t="n">
        <v>370</v>
      </c>
      <c r="B371" s="2" t="s">
        <v>942</v>
      </c>
      <c r="C371" s="2" t="s">
        <v>1432</v>
      </c>
      <c r="D371" s="2" t="s">
        <v>1433</v>
      </c>
      <c r="E371" s="2" t="n">
        <v>2025</v>
      </c>
      <c r="F371" s="2" t="s">
        <v>1434</v>
      </c>
      <c r="G371" s="2" t="s">
        <v>946</v>
      </c>
      <c r="H371" s="2" t="s">
        <v>1435</v>
      </c>
      <c r="I371" s="2" t="s">
        <v>24</v>
      </c>
      <c r="J371" s="2"/>
      <c r="K371" s="2" t="s">
        <v>24</v>
      </c>
      <c r="L371" s="2"/>
      <c r="M371" s="2" t="s">
        <v>24</v>
      </c>
      <c r="N371" s="2" t="s">
        <v>35</v>
      </c>
      <c r="O371" s="2" t="s">
        <v>36</v>
      </c>
      <c r="P371" s="2"/>
      <c r="Q371" s="3"/>
      <c r="R371" s="3"/>
    </row>
    <row r="372" customFormat="false" ht="46.25" hidden="false" customHeight="false" outlineLevel="0" collapsed="false">
      <c r="A372" s="2" t="n">
        <v>371</v>
      </c>
      <c r="B372" s="2" t="s">
        <v>942</v>
      </c>
      <c r="C372" s="2" t="s">
        <v>1436</v>
      </c>
      <c r="D372" s="2" t="s">
        <v>1437</v>
      </c>
      <c r="E372" s="2" t="n">
        <v>2025</v>
      </c>
      <c r="F372" s="2" t="s">
        <v>1438</v>
      </c>
      <c r="G372" s="2" t="s">
        <v>946</v>
      </c>
      <c r="H372" s="2" t="s">
        <v>1439</v>
      </c>
      <c r="I372" s="2" t="s">
        <v>24</v>
      </c>
      <c r="J372" s="2"/>
      <c r="K372" s="2"/>
      <c r="L372" s="2"/>
      <c r="M372" s="2" t="s">
        <v>24</v>
      </c>
      <c r="N372" s="2" t="s">
        <v>964</v>
      </c>
      <c r="O372" s="2" t="s">
        <v>965</v>
      </c>
      <c r="P372" s="2"/>
      <c r="Q372" s="3"/>
      <c r="R372" s="3"/>
    </row>
    <row r="373" customFormat="false" ht="46.25" hidden="false" customHeight="false" outlineLevel="0" collapsed="false">
      <c r="A373" s="2" t="n">
        <v>372</v>
      </c>
      <c r="B373" s="2" t="s">
        <v>942</v>
      </c>
      <c r="C373" s="2" t="s">
        <v>1440</v>
      </c>
      <c r="D373" s="2" t="s">
        <v>1441</v>
      </c>
      <c r="E373" s="2" t="n">
        <v>2025</v>
      </c>
      <c r="F373" s="2" t="s">
        <v>1348</v>
      </c>
      <c r="G373" s="2" t="s">
        <v>946</v>
      </c>
      <c r="H373" s="2" t="s">
        <v>1442</v>
      </c>
      <c r="I373" s="2"/>
      <c r="J373" s="2"/>
      <c r="K373" s="2" t="s">
        <v>24</v>
      </c>
      <c r="L373" s="2"/>
      <c r="M373" s="2" t="s">
        <v>24</v>
      </c>
      <c r="N373" s="2" t="s">
        <v>128</v>
      </c>
      <c r="O373" s="2" t="s">
        <v>129</v>
      </c>
      <c r="P373" s="2"/>
      <c r="Q373" s="3"/>
      <c r="R373" s="3"/>
    </row>
    <row r="374" customFormat="false" ht="46.25" hidden="false" customHeight="false" outlineLevel="0" collapsed="false">
      <c r="A374" s="2" t="n">
        <v>373</v>
      </c>
      <c r="B374" s="2" t="s">
        <v>942</v>
      </c>
      <c r="C374" s="2" t="s">
        <v>1443</v>
      </c>
      <c r="D374" s="2" t="s">
        <v>1444</v>
      </c>
      <c r="E374" s="2" t="n">
        <v>2025</v>
      </c>
      <c r="F374" s="2" t="s">
        <v>1445</v>
      </c>
      <c r="G374" s="2" t="s">
        <v>946</v>
      </c>
      <c r="H374" s="2" t="s">
        <v>1446</v>
      </c>
      <c r="I374" s="2"/>
      <c r="J374" s="2"/>
      <c r="K374" s="2" t="s">
        <v>24</v>
      </c>
      <c r="L374" s="2"/>
      <c r="M374" s="2" t="s">
        <v>24</v>
      </c>
      <c r="N374" s="2" t="s">
        <v>25</v>
      </c>
      <c r="O374" s="2" t="s">
        <v>26</v>
      </c>
      <c r="P374" s="2"/>
      <c r="Q374" s="3"/>
      <c r="R374" s="3"/>
    </row>
    <row r="375" customFormat="false" ht="35.05" hidden="false" customHeight="false" outlineLevel="0" collapsed="false">
      <c r="A375" s="2" t="n">
        <v>374</v>
      </c>
      <c r="B375" s="2" t="s">
        <v>942</v>
      </c>
      <c r="C375" s="2" t="s">
        <v>1447</v>
      </c>
      <c r="D375" s="2" t="s">
        <v>1448</v>
      </c>
      <c r="E375" s="2" t="n">
        <v>2025</v>
      </c>
      <c r="F375" s="2" t="s">
        <v>1449</v>
      </c>
      <c r="G375" s="2" t="s">
        <v>946</v>
      </c>
      <c r="H375" s="2" t="s">
        <v>1450</v>
      </c>
      <c r="I375" s="2"/>
      <c r="J375" s="2"/>
      <c r="K375" s="2" t="s">
        <v>24</v>
      </c>
      <c r="L375" s="2"/>
      <c r="M375" s="2" t="s">
        <v>24</v>
      </c>
      <c r="N375" s="2" t="s">
        <v>128</v>
      </c>
      <c r="O375" s="2" t="s">
        <v>129</v>
      </c>
      <c r="P375" s="2"/>
      <c r="Q375" s="3"/>
      <c r="R375" s="3"/>
    </row>
    <row r="376" customFormat="false" ht="23.85" hidden="false" customHeight="false" outlineLevel="0" collapsed="false">
      <c r="A376" s="2" t="n">
        <v>375</v>
      </c>
      <c r="B376" s="2" t="s">
        <v>942</v>
      </c>
      <c r="C376" s="2" t="s">
        <v>1451</v>
      </c>
      <c r="D376" s="2" t="s">
        <v>1452</v>
      </c>
      <c r="E376" s="2" t="n">
        <v>2026</v>
      </c>
      <c r="F376" s="2" t="s">
        <v>201</v>
      </c>
      <c r="G376" s="2" t="s">
        <v>1057</v>
      </c>
      <c r="H376" s="2" t="s">
        <v>1453</v>
      </c>
      <c r="I376" s="2" t="s">
        <v>24</v>
      </c>
      <c r="J376" s="2"/>
      <c r="K376" s="2" t="s">
        <v>24</v>
      </c>
      <c r="L376" s="2"/>
      <c r="M376" s="2" t="s">
        <v>24</v>
      </c>
      <c r="N376" s="2" t="s">
        <v>158</v>
      </c>
      <c r="O376" s="2" t="s">
        <v>159</v>
      </c>
      <c r="P376" s="2"/>
      <c r="Q376" s="3"/>
      <c r="R376" s="3"/>
    </row>
    <row r="377" customFormat="false" ht="46.25" hidden="false" customHeight="false" outlineLevel="0" collapsed="false">
      <c r="A377" s="2" t="n">
        <v>376</v>
      </c>
      <c r="B377" s="2" t="s">
        <v>942</v>
      </c>
      <c r="C377" s="2" t="s">
        <v>1454</v>
      </c>
      <c r="D377" s="2" t="s">
        <v>1455</v>
      </c>
      <c r="E377" s="2" t="n">
        <v>2026</v>
      </c>
      <c r="F377" s="2" t="s">
        <v>1202</v>
      </c>
      <c r="G377" s="2" t="s">
        <v>946</v>
      </c>
      <c r="H377" s="2" t="s">
        <v>1456</v>
      </c>
      <c r="I377" s="2" t="s">
        <v>24</v>
      </c>
      <c r="J377" s="2"/>
      <c r="K377" s="2" t="s">
        <v>24</v>
      </c>
      <c r="L377" s="2"/>
      <c r="M377" s="2" t="s">
        <v>24</v>
      </c>
      <c r="N377" s="2" t="s">
        <v>158</v>
      </c>
      <c r="O377" s="2" t="s">
        <v>159</v>
      </c>
      <c r="P377" s="2"/>
      <c r="Q377" s="3"/>
      <c r="R377" s="3"/>
    </row>
    <row r="378" customFormat="false" ht="35.05" hidden="false" customHeight="false" outlineLevel="0" collapsed="false">
      <c r="A378" s="2" t="n">
        <v>377</v>
      </c>
      <c r="B378" s="2" t="s">
        <v>942</v>
      </c>
      <c r="C378" s="2" t="s">
        <v>1457</v>
      </c>
      <c r="D378" s="2" t="s">
        <v>1458</v>
      </c>
      <c r="E378" s="2" t="n">
        <v>2026</v>
      </c>
      <c r="F378" s="2" t="s">
        <v>1243</v>
      </c>
      <c r="G378" s="2" t="s">
        <v>946</v>
      </c>
      <c r="H378" s="2" t="s">
        <v>1459</v>
      </c>
      <c r="I378" s="2"/>
      <c r="J378" s="2"/>
      <c r="K378" s="2"/>
      <c r="L378" s="2"/>
      <c r="M378" s="2" t="s">
        <v>24</v>
      </c>
      <c r="N378" s="2" t="s">
        <v>128</v>
      </c>
      <c r="O378" s="2" t="s">
        <v>129</v>
      </c>
      <c r="P378" s="2"/>
      <c r="Q378" s="3"/>
      <c r="R378" s="3"/>
    </row>
    <row r="379" customFormat="false" ht="46.25" hidden="false" customHeight="false" outlineLevel="0" collapsed="false">
      <c r="A379" s="2" t="n">
        <v>378</v>
      </c>
      <c r="B379" s="2" t="s">
        <v>942</v>
      </c>
      <c r="C379" s="2" t="s">
        <v>1460</v>
      </c>
      <c r="D379" s="2" t="s">
        <v>1461</v>
      </c>
      <c r="E379" s="2" t="n">
        <v>2026</v>
      </c>
      <c r="F379" s="2" t="s">
        <v>1462</v>
      </c>
      <c r="G379" s="2" t="s">
        <v>946</v>
      </c>
      <c r="H379" s="2" t="s">
        <v>1463</v>
      </c>
      <c r="I379" s="2" t="s">
        <v>24</v>
      </c>
      <c r="J379" s="2"/>
      <c r="K379" s="2"/>
      <c r="L379" s="2"/>
      <c r="M379" s="2"/>
      <c r="N379" s="2" t="s">
        <v>964</v>
      </c>
      <c r="O379" s="2" t="s">
        <v>965</v>
      </c>
      <c r="P379" s="2"/>
      <c r="Q379" s="3"/>
      <c r="R379" s="3"/>
    </row>
    <row r="380" customFormat="false" ht="68.65" hidden="false" customHeight="false" outlineLevel="0" collapsed="false">
      <c r="A380" s="2" t="n">
        <v>379</v>
      </c>
      <c r="B380" s="2" t="s">
        <v>942</v>
      </c>
      <c r="C380" s="2" t="s">
        <v>1464</v>
      </c>
      <c r="D380" s="2" t="s">
        <v>1465</v>
      </c>
      <c r="E380" s="2" t="n">
        <v>2026</v>
      </c>
      <c r="F380" s="2" t="s">
        <v>1466</v>
      </c>
      <c r="G380" s="2" t="s">
        <v>946</v>
      </c>
      <c r="H380" s="2" t="s">
        <v>1467</v>
      </c>
      <c r="I380" s="2" t="s">
        <v>24</v>
      </c>
      <c r="J380" s="2"/>
      <c r="K380" s="2" t="s">
        <v>24</v>
      </c>
      <c r="L380" s="2"/>
      <c r="M380" s="2"/>
      <c r="N380" s="2" t="s">
        <v>35</v>
      </c>
      <c r="O380" s="2" t="s">
        <v>36</v>
      </c>
      <c r="P380" s="2"/>
      <c r="Q380" s="3"/>
      <c r="R380" s="3"/>
    </row>
    <row r="381" customFormat="false" ht="35.05" hidden="false" customHeight="false" outlineLevel="0" collapsed="false">
      <c r="A381" s="2" t="n">
        <v>380</v>
      </c>
      <c r="B381" s="2" t="s">
        <v>942</v>
      </c>
      <c r="C381" s="2" t="s">
        <v>1468</v>
      </c>
      <c r="D381" s="2" t="s">
        <v>1469</v>
      </c>
      <c r="E381" s="2" t="n">
        <v>2025</v>
      </c>
      <c r="F381" s="2" t="s">
        <v>1470</v>
      </c>
      <c r="G381" s="2" t="s">
        <v>946</v>
      </c>
      <c r="H381" s="2" t="s">
        <v>1471</v>
      </c>
      <c r="I381" s="2"/>
      <c r="J381" s="2"/>
      <c r="K381" s="2" t="s">
        <v>24</v>
      </c>
      <c r="L381" s="2"/>
      <c r="M381" s="2" t="s">
        <v>24</v>
      </c>
      <c r="N381" s="2" t="s">
        <v>128</v>
      </c>
      <c r="O381" s="2" t="s">
        <v>129</v>
      </c>
      <c r="P381" s="2"/>
      <c r="Q381" s="3"/>
      <c r="R381" s="3"/>
    </row>
    <row r="382" customFormat="false" ht="35.05" hidden="false" customHeight="false" outlineLevel="0" collapsed="false">
      <c r="A382" s="2" t="n">
        <v>381</v>
      </c>
      <c r="B382" s="2" t="s">
        <v>942</v>
      </c>
      <c r="C382" s="2" t="s">
        <v>1472</v>
      </c>
      <c r="D382" s="2" t="s">
        <v>1473</v>
      </c>
      <c r="E382" s="2" t="n">
        <v>2026</v>
      </c>
      <c r="F382" s="2" t="s">
        <v>1474</v>
      </c>
      <c r="G382" s="2" t="s">
        <v>946</v>
      </c>
      <c r="H382" s="2" t="s">
        <v>1475</v>
      </c>
      <c r="I382" s="2"/>
      <c r="J382" s="2"/>
      <c r="K382" s="2" t="s">
        <v>24</v>
      </c>
      <c r="L382" s="2"/>
      <c r="M382" s="2" t="s">
        <v>24</v>
      </c>
      <c r="N382" s="2" t="s">
        <v>128</v>
      </c>
      <c r="O382" s="2" t="s">
        <v>129</v>
      </c>
      <c r="P382" s="2"/>
      <c r="Q382" s="3"/>
      <c r="R382" s="3"/>
    </row>
    <row r="383" customFormat="false" ht="35.05" hidden="false" customHeight="false" outlineLevel="0" collapsed="false">
      <c r="A383" s="2" t="n">
        <v>382</v>
      </c>
      <c r="B383" s="2" t="s">
        <v>942</v>
      </c>
      <c r="C383" s="2" t="s">
        <v>1476</v>
      </c>
      <c r="D383" s="2" t="s">
        <v>1477</v>
      </c>
      <c r="E383" s="2" t="n">
        <v>2026</v>
      </c>
      <c r="F383" s="2" t="s">
        <v>1478</v>
      </c>
      <c r="G383" s="2" t="s">
        <v>946</v>
      </c>
      <c r="H383" s="2" t="s">
        <v>1479</v>
      </c>
      <c r="I383" s="2" t="s">
        <v>24</v>
      </c>
      <c r="J383" s="2"/>
      <c r="K383" s="2" t="s">
        <v>24</v>
      </c>
      <c r="L383" s="2"/>
      <c r="M383" s="2" t="s">
        <v>24</v>
      </c>
      <c r="N383" s="2" t="s">
        <v>35</v>
      </c>
      <c r="O383" s="2" t="s">
        <v>36</v>
      </c>
      <c r="P383" s="2"/>
      <c r="Q383" s="3"/>
      <c r="R383" s="3"/>
    </row>
    <row r="384" customFormat="false" ht="35.05" hidden="false" customHeight="false" outlineLevel="0" collapsed="false">
      <c r="A384" s="2" t="n">
        <v>383</v>
      </c>
      <c r="B384" s="2" t="s">
        <v>942</v>
      </c>
      <c r="C384" s="2" t="s">
        <v>1480</v>
      </c>
      <c r="D384" s="2" t="s">
        <v>1481</v>
      </c>
      <c r="E384" s="2" t="n">
        <v>2026</v>
      </c>
      <c r="F384" s="2" t="s">
        <v>1482</v>
      </c>
      <c r="G384" s="2" t="s">
        <v>946</v>
      </c>
      <c r="H384" s="2" t="s">
        <v>1483</v>
      </c>
      <c r="I384" s="2"/>
      <c r="J384" s="2"/>
      <c r="K384" s="2" t="s">
        <v>24</v>
      </c>
      <c r="L384" s="2"/>
      <c r="M384" s="2" t="s">
        <v>24</v>
      </c>
      <c r="N384" s="2" t="s">
        <v>128</v>
      </c>
      <c r="O384" s="2" t="s">
        <v>129</v>
      </c>
      <c r="P384" s="2"/>
      <c r="Q384" s="3"/>
      <c r="R384" s="3"/>
    </row>
    <row r="385" customFormat="false" ht="46.25" hidden="false" customHeight="false" outlineLevel="0" collapsed="false">
      <c r="A385" s="2" t="n">
        <v>384</v>
      </c>
      <c r="B385" s="2" t="s">
        <v>942</v>
      </c>
      <c r="C385" s="2" t="s">
        <v>1484</v>
      </c>
      <c r="D385" s="2" t="s">
        <v>1485</v>
      </c>
      <c r="E385" s="2" t="n">
        <v>2026</v>
      </c>
      <c r="F385" s="2" t="s">
        <v>980</v>
      </c>
      <c r="G385" s="2" t="s">
        <v>981</v>
      </c>
      <c r="H385" s="2" t="s">
        <v>1486</v>
      </c>
      <c r="I385" s="2" t="s">
        <v>24</v>
      </c>
      <c r="J385" s="2"/>
      <c r="K385" s="2" t="s">
        <v>24</v>
      </c>
      <c r="L385" s="2"/>
      <c r="M385" s="2"/>
      <c r="N385" s="2" t="s">
        <v>35</v>
      </c>
      <c r="O385" s="2" t="s">
        <v>36</v>
      </c>
      <c r="P385" s="2"/>
      <c r="Q385" s="3"/>
      <c r="R385" s="3"/>
    </row>
    <row r="386" customFormat="false" ht="35.05" hidden="false" customHeight="false" outlineLevel="0" collapsed="false">
      <c r="A386" s="2" t="n">
        <v>385</v>
      </c>
      <c r="B386" s="2" t="s">
        <v>942</v>
      </c>
      <c r="C386" s="2" t="s">
        <v>1487</v>
      </c>
      <c r="D386" s="2" t="s">
        <v>1488</v>
      </c>
      <c r="E386" s="2" t="n">
        <v>2025</v>
      </c>
      <c r="F386" s="2" t="s">
        <v>1489</v>
      </c>
      <c r="G386" s="2" t="s">
        <v>946</v>
      </c>
      <c r="H386" s="2" t="s">
        <v>1490</v>
      </c>
      <c r="I386" s="2" t="s">
        <v>24</v>
      </c>
      <c r="J386" s="2"/>
      <c r="K386" s="2" t="s">
        <v>24</v>
      </c>
      <c r="L386" s="2"/>
      <c r="M386" s="2"/>
      <c r="N386" s="2" t="s">
        <v>158</v>
      </c>
      <c r="O386" s="2" t="s">
        <v>159</v>
      </c>
      <c r="P386" s="2"/>
      <c r="Q386" s="3"/>
      <c r="R386" s="3"/>
    </row>
    <row r="387" customFormat="false" ht="35.05" hidden="false" customHeight="false" outlineLevel="0" collapsed="false">
      <c r="A387" s="2" t="n">
        <v>386</v>
      </c>
      <c r="B387" s="2" t="s">
        <v>942</v>
      </c>
      <c r="C387" s="2" t="s">
        <v>1491</v>
      </c>
      <c r="D387" s="2" t="s">
        <v>1492</v>
      </c>
      <c r="E387" s="2" t="n">
        <v>2026</v>
      </c>
      <c r="F387" s="2" t="s">
        <v>1493</v>
      </c>
      <c r="G387" s="2" t="s">
        <v>1057</v>
      </c>
      <c r="H387" s="2" t="s">
        <v>1494</v>
      </c>
      <c r="I387" s="2" t="s">
        <v>24</v>
      </c>
      <c r="J387" s="2"/>
      <c r="K387" s="2" t="s">
        <v>24</v>
      </c>
      <c r="L387" s="2"/>
      <c r="M387" s="2"/>
      <c r="N387" s="2" t="s">
        <v>35</v>
      </c>
      <c r="O387" s="2" t="s">
        <v>36</v>
      </c>
      <c r="P387" s="2"/>
      <c r="Q387" s="3"/>
      <c r="R387" s="3"/>
    </row>
    <row r="388" customFormat="false" ht="35.05" hidden="false" customHeight="false" outlineLevel="0" collapsed="false">
      <c r="A388" s="2" t="n">
        <v>387</v>
      </c>
      <c r="B388" s="2" t="s">
        <v>942</v>
      </c>
      <c r="C388" s="2" t="s">
        <v>1495</v>
      </c>
      <c r="D388" s="2" t="s">
        <v>1496</v>
      </c>
      <c r="E388" s="2" t="n">
        <v>2025</v>
      </c>
      <c r="F388" s="2" t="s">
        <v>1497</v>
      </c>
      <c r="G388" s="2" t="s">
        <v>946</v>
      </c>
      <c r="H388" s="2" t="s">
        <v>1498</v>
      </c>
      <c r="I388" s="2"/>
      <c r="J388" s="2"/>
      <c r="K388" s="2" t="s">
        <v>24</v>
      </c>
      <c r="L388" s="2"/>
      <c r="M388" s="2"/>
      <c r="N388" s="2" t="s">
        <v>128</v>
      </c>
      <c r="O388" s="2" t="s">
        <v>129</v>
      </c>
      <c r="P388" s="2"/>
      <c r="Q388" s="3"/>
      <c r="R388" s="3"/>
    </row>
    <row r="389" customFormat="false" ht="35.05" hidden="false" customHeight="false" outlineLevel="0" collapsed="false">
      <c r="A389" s="2" t="n">
        <v>388</v>
      </c>
      <c r="B389" s="2" t="s">
        <v>942</v>
      </c>
      <c r="C389" s="2" t="s">
        <v>1499</v>
      </c>
      <c r="D389" s="2" t="s">
        <v>1500</v>
      </c>
      <c r="E389" s="2" t="n">
        <v>2025</v>
      </c>
      <c r="F389" s="2" t="s">
        <v>1501</v>
      </c>
      <c r="G389" s="2" t="s">
        <v>946</v>
      </c>
      <c r="H389" s="2" t="s">
        <v>1502</v>
      </c>
      <c r="I389" s="2" t="s">
        <v>24</v>
      </c>
      <c r="J389" s="2"/>
      <c r="K389" s="2"/>
      <c r="L389" s="2"/>
      <c r="M389" s="2" t="s">
        <v>24</v>
      </c>
      <c r="N389" s="2" t="s">
        <v>964</v>
      </c>
      <c r="O389" s="2" t="s">
        <v>965</v>
      </c>
      <c r="P389" s="2"/>
      <c r="Q389" s="3"/>
      <c r="R389" s="3"/>
    </row>
    <row r="390" customFormat="false" ht="35.05" hidden="false" customHeight="false" outlineLevel="0" collapsed="false">
      <c r="A390" s="2" t="n">
        <v>389</v>
      </c>
      <c r="B390" s="2" t="s">
        <v>942</v>
      </c>
      <c r="C390" s="2" t="s">
        <v>1503</v>
      </c>
      <c r="D390" s="2" t="s">
        <v>1504</v>
      </c>
      <c r="E390" s="2" t="n">
        <v>2026</v>
      </c>
      <c r="F390" s="2" t="s">
        <v>1505</v>
      </c>
      <c r="G390" s="2" t="s">
        <v>946</v>
      </c>
      <c r="H390" s="2" t="s">
        <v>1506</v>
      </c>
      <c r="I390" s="2"/>
      <c r="J390" s="2"/>
      <c r="K390" s="2" t="s">
        <v>24</v>
      </c>
      <c r="L390" s="2"/>
      <c r="M390" s="2"/>
      <c r="N390" s="2" t="s">
        <v>25</v>
      </c>
      <c r="O390" s="2" t="s">
        <v>26</v>
      </c>
      <c r="P390" s="2"/>
      <c r="Q390" s="3"/>
      <c r="R390" s="3"/>
    </row>
    <row r="391" customFormat="false" ht="35.05" hidden="false" customHeight="false" outlineLevel="0" collapsed="false">
      <c r="A391" s="2" t="n">
        <v>390</v>
      </c>
      <c r="B391" s="2" t="s">
        <v>942</v>
      </c>
      <c r="C391" s="2" t="s">
        <v>1507</v>
      </c>
      <c r="D391" s="2" t="s">
        <v>1508</v>
      </c>
      <c r="E391" s="2" t="n">
        <v>2026</v>
      </c>
      <c r="F391" s="2" t="s">
        <v>1509</v>
      </c>
      <c r="G391" s="2" t="s">
        <v>946</v>
      </c>
      <c r="H391" s="2" t="s">
        <v>1510</v>
      </c>
      <c r="I391" s="2"/>
      <c r="J391" s="2"/>
      <c r="K391" s="2" t="s">
        <v>24</v>
      </c>
      <c r="L391" s="2"/>
      <c r="M391" s="2" t="s">
        <v>24</v>
      </c>
      <c r="N391" s="2" t="s">
        <v>25</v>
      </c>
      <c r="O391" s="2" t="s">
        <v>26</v>
      </c>
      <c r="P391" s="2"/>
      <c r="Q391" s="3"/>
      <c r="R391" s="3"/>
    </row>
    <row r="392" customFormat="false" ht="35.05" hidden="false" customHeight="false" outlineLevel="0" collapsed="false">
      <c r="A392" s="2" t="n">
        <v>391</v>
      </c>
      <c r="B392" s="2" t="s">
        <v>942</v>
      </c>
      <c r="C392" s="2" t="s">
        <v>1511</v>
      </c>
      <c r="D392" s="2" t="s">
        <v>1512</v>
      </c>
      <c r="E392" s="2" t="n">
        <v>2025</v>
      </c>
      <c r="F392" s="2" t="s">
        <v>1427</v>
      </c>
      <c r="G392" s="2" t="s">
        <v>946</v>
      </c>
      <c r="H392" s="2" t="s">
        <v>1513</v>
      </c>
      <c r="I392" s="2"/>
      <c r="J392" s="2"/>
      <c r="K392" s="2" t="s">
        <v>24</v>
      </c>
      <c r="L392" s="2"/>
      <c r="M392" s="2"/>
      <c r="N392" s="2" t="s">
        <v>128</v>
      </c>
      <c r="O392" s="2" t="s">
        <v>129</v>
      </c>
      <c r="P392" s="2"/>
      <c r="Q392" s="3"/>
      <c r="R392" s="3"/>
    </row>
    <row r="393" customFormat="false" ht="35.05" hidden="false" customHeight="false" outlineLevel="0" collapsed="false">
      <c r="A393" s="2" t="n">
        <v>392</v>
      </c>
      <c r="B393" s="2" t="s">
        <v>942</v>
      </c>
      <c r="C393" s="2" t="s">
        <v>1514</v>
      </c>
      <c r="D393" s="2" t="s">
        <v>1515</v>
      </c>
      <c r="E393" s="2" t="n">
        <v>2026</v>
      </c>
      <c r="F393" s="2" t="s">
        <v>1041</v>
      </c>
      <c r="G393" s="2" t="s">
        <v>946</v>
      </c>
      <c r="H393" s="2" t="s">
        <v>1516</v>
      </c>
      <c r="I393" s="2"/>
      <c r="J393" s="2"/>
      <c r="K393" s="2" t="s">
        <v>24</v>
      </c>
      <c r="L393" s="2" t="s">
        <v>24</v>
      </c>
      <c r="M393" s="2" t="s">
        <v>24</v>
      </c>
      <c r="N393" s="2" t="s">
        <v>128</v>
      </c>
      <c r="O393" s="2" t="s">
        <v>129</v>
      </c>
      <c r="P393" s="2"/>
      <c r="Q393" s="3"/>
      <c r="R393" s="3"/>
    </row>
    <row r="394" customFormat="false" ht="46.25" hidden="false" customHeight="false" outlineLevel="0" collapsed="false">
      <c r="A394" s="2" t="n">
        <v>393</v>
      </c>
      <c r="B394" s="2" t="s">
        <v>942</v>
      </c>
      <c r="C394" s="2" t="s">
        <v>1517</v>
      </c>
      <c r="D394" s="2" t="s">
        <v>1518</v>
      </c>
      <c r="E394" s="2" t="n">
        <v>2026</v>
      </c>
      <c r="F394" s="2" t="s">
        <v>1519</v>
      </c>
      <c r="G394" s="2" t="s">
        <v>946</v>
      </c>
      <c r="H394" s="2" t="s">
        <v>1520</v>
      </c>
      <c r="I394" s="2"/>
      <c r="J394" s="2"/>
      <c r="K394" s="2" t="s">
        <v>24</v>
      </c>
      <c r="L394" s="2"/>
      <c r="M394" s="2" t="s">
        <v>24</v>
      </c>
      <c r="N394" s="2" t="s">
        <v>25</v>
      </c>
      <c r="O394" s="2" t="s">
        <v>26</v>
      </c>
      <c r="P394" s="2"/>
      <c r="Q394" s="3"/>
      <c r="R394" s="3"/>
    </row>
    <row r="395" customFormat="false" ht="35.05" hidden="false" customHeight="false" outlineLevel="0" collapsed="false">
      <c r="A395" s="2" t="n">
        <v>394</v>
      </c>
      <c r="B395" s="2" t="s">
        <v>942</v>
      </c>
      <c r="C395" s="2" t="s">
        <v>1521</v>
      </c>
      <c r="D395" s="2" t="s">
        <v>1522</v>
      </c>
      <c r="E395" s="2" t="n">
        <v>2025</v>
      </c>
      <c r="F395" s="2" t="s">
        <v>1523</v>
      </c>
      <c r="G395" s="2" t="s">
        <v>946</v>
      </c>
      <c r="H395" s="2" t="s">
        <v>1524</v>
      </c>
      <c r="I395" s="2"/>
      <c r="J395" s="2"/>
      <c r="K395" s="2"/>
      <c r="L395" s="2"/>
      <c r="M395" s="2"/>
      <c r="N395" s="2" t="s">
        <v>128</v>
      </c>
      <c r="O395" s="2" t="s">
        <v>129</v>
      </c>
      <c r="P395" s="2"/>
      <c r="Q395" s="3"/>
      <c r="R395" s="3"/>
    </row>
    <row r="396" customFormat="false" ht="46.25" hidden="false" customHeight="false" outlineLevel="0" collapsed="false">
      <c r="A396" s="2" t="n">
        <v>395</v>
      </c>
      <c r="B396" s="2" t="s">
        <v>942</v>
      </c>
      <c r="C396" s="2" t="s">
        <v>1525</v>
      </c>
      <c r="D396" s="2" t="s">
        <v>1526</v>
      </c>
      <c r="E396" s="2" t="n">
        <v>2025</v>
      </c>
      <c r="F396" s="2" t="s">
        <v>1527</v>
      </c>
      <c r="G396" s="2" t="s">
        <v>946</v>
      </c>
      <c r="H396" s="2" t="s">
        <v>1528</v>
      </c>
      <c r="I396" s="2"/>
      <c r="J396" s="2"/>
      <c r="K396" s="2" t="s">
        <v>24</v>
      </c>
      <c r="L396" s="2"/>
      <c r="M396" s="2" t="s">
        <v>24</v>
      </c>
      <c r="N396" s="2" t="s">
        <v>128</v>
      </c>
      <c r="O396" s="2" t="s">
        <v>129</v>
      </c>
      <c r="P396" s="2"/>
      <c r="Q396" s="3"/>
      <c r="R396" s="3"/>
    </row>
    <row r="397" customFormat="false" ht="46.25" hidden="false" customHeight="false" outlineLevel="0" collapsed="false">
      <c r="A397" s="2" t="n">
        <v>396</v>
      </c>
      <c r="B397" s="2" t="s">
        <v>942</v>
      </c>
      <c r="C397" s="2" t="s">
        <v>1529</v>
      </c>
      <c r="D397" s="2" t="s">
        <v>1530</v>
      </c>
      <c r="E397" s="2" t="n">
        <v>2026</v>
      </c>
      <c r="F397" s="2" t="s">
        <v>1531</v>
      </c>
      <c r="G397" s="2" t="s">
        <v>946</v>
      </c>
      <c r="H397" s="2" t="s">
        <v>1532</v>
      </c>
      <c r="I397" s="2"/>
      <c r="J397" s="2"/>
      <c r="K397" s="2" t="s">
        <v>24</v>
      </c>
      <c r="L397" s="2"/>
      <c r="M397" s="2"/>
      <c r="N397" s="2" t="s">
        <v>25</v>
      </c>
      <c r="O397" s="2" t="s">
        <v>26</v>
      </c>
      <c r="P397" s="2"/>
      <c r="Q397" s="3"/>
      <c r="R397" s="3"/>
    </row>
    <row r="398" customFormat="false" ht="46.25" hidden="false" customHeight="false" outlineLevel="0" collapsed="false">
      <c r="A398" s="2" t="n">
        <v>397</v>
      </c>
      <c r="B398" s="2" t="s">
        <v>942</v>
      </c>
      <c r="C398" s="2" t="s">
        <v>1533</v>
      </c>
      <c r="D398" s="2" t="s">
        <v>1534</v>
      </c>
      <c r="E398" s="2" t="n">
        <v>2025</v>
      </c>
      <c r="F398" s="2" t="s">
        <v>1535</v>
      </c>
      <c r="G398" s="2" t="s">
        <v>946</v>
      </c>
      <c r="H398" s="2" t="s">
        <v>1536</v>
      </c>
      <c r="I398" s="2"/>
      <c r="J398" s="2"/>
      <c r="K398" s="2" t="s">
        <v>24</v>
      </c>
      <c r="L398" s="2"/>
      <c r="M398" s="2"/>
      <c r="N398" s="2" t="s">
        <v>128</v>
      </c>
      <c r="O398" s="2" t="s">
        <v>129</v>
      </c>
      <c r="P398" s="2"/>
      <c r="Q398" s="3"/>
      <c r="R398" s="3"/>
    </row>
    <row r="399" customFormat="false" ht="35.05" hidden="false" customHeight="false" outlineLevel="0" collapsed="false">
      <c r="A399" s="2" t="n">
        <v>398</v>
      </c>
      <c r="B399" s="2" t="s">
        <v>942</v>
      </c>
      <c r="C399" s="2" t="s">
        <v>1537</v>
      </c>
      <c r="D399" s="2" t="s">
        <v>1538</v>
      </c>
      <c r="E399" s="2" t="n">
        <v>2025</v>
      </c>
      <c r="F399" s="2" t="s">
        <v>1539</v>
      </c>
      <c r="G399" s="2" t="s">
        <v>946</v>
      </c>
      <c r="H399" s="2" t="s">
        <v>1540</v>
      </c>
      <c r="I399" s="2"/>
      <c r="J399" s="2"/>
      <c r="K399" s="2" t="s">
        <v>24</v>
      </c>
      <c r="L399" s="2"/>
      <c r="M399" s="2"/>
      <c r="N399" s="2" t="s">
        <v>128</v>
      </c>
      <c r="O399" s="2" t="s">
        <v>129</v>
      </c>
      <c r="P399" s="2"/>
      <c r="Q399" s="3"/>
      <c r="R399" s="3"/>
    </row>
    <row r="400" customFormat="false" ht="35.05" hidden="false" customHeight="false" outlineLevel="0" collapsed="false">
      <c r="A400" s="2" t="n">
        <v>399</v>
      </c>
      <c r="B400" s="2" t="s">
        <v>942</v>
      </c>
      <c r="C400" s="2" t="s">
        <v>1541</v>
      </c>
      <c r="D400" s="2" t="s">
        <v>1542</v>
      </c>
      <c r="E400" s="2" t="n">
        <v>2026</v>
      </c>
      <c r="F400" s="2" t="s">
        <v>1543</v>
      </c>
      <c r="G400" s="2" t="s">
        <v>946</v>
      </c>
      <c r="H400" s="2" t="s">
        <v>1544</v>
      </c>
      <c r="I400" s="2"/>
      <c r="J400" s="2"/>
      <c r="K400" s="2" t="s">
        <v>24</v>
      </c>
      <c r="L400" s="2"/>
      <c r="M400" s="2" t="s">
        <v>24</v>
      </c>
      <c r="N400" s="2" t="s">
        <v>25</v>
      </c>
      <c r="O400" s="2" t="s">
        <v>26</v>
      </c>
      <c r="P400" s="2"/>
      <c r="Q400" s="3"/>
      <c r="R400" s="3"/>
    </row>
    <row r="401" customFormat="false" ht="46.25" hidden="false" customHeight="false" outlineLevel="0" collapsed="false">
      <c r="A401" s="2" t="n">
        <v>400</v>
      </c>
      <c r="B401" s="2" t="s">
        <v>942</v>
      </c>
      <c r="C401" s="2" t="s">
        <v>1545</v>
      </c>
      <c r="D401" s="2" t="s">
        <v>1546</v>
      </c>
      <c r="E401" s="2" t="n">
        <v>2025</v>
      </c>
      <c r="F401" s="2" t="s">
        <v>1547</v>
      </c>
      <c r="G401" s="2" t="s">
        <v>946</v>
      </c>
      <c r="H401" s="2" t="s">
        <v>1548</v>
      </c>
      <c r="I401" s="2" t="s">
        <v>24</v>
      </c>
      <c r="J401" s="2"/>
      <c r="K401" s="2"/>
      <c r="L401" s="2"/>
      <c r="M401" s="2" t="s">
        <v>24</v>
      </c>
      <c r="N401" s="2" t="s">
        <v>158</v>
      </c>
      <c r="O401" s="2" t="s">
        <v>159</v>
      </c>
      <c r="P401" s="2"/>
      <c r="Q401" s="3"/>
      <c r="R401" s="3"/>
    </row>
    <row r="402" customFormat="false" ht="23.85" hidden="false" customHeight="false" outlineLevel="0" collapsed="false">
      <c r="A402" s="2" t="n">
        <v>401</v>
      </c>
      <c r="B402" s="2" t="s">
        <v>942</v>
      </c>
      <c r="C402" s="2" t="s">
        <v>1549</v>
      </c>
      <c r="D402" s="2" t="s">
        <v>1550</v>
      </c>
      <c r="E402" s="2" t="n">
        <v>2025</v>
      </c>
      <c r="F402" s="2" t="s">
        <v>47</v>
      </c>
      <c r="G402" s="2" t="s">
        <v>1057</v>
      </c>
      <c r="H402" s="2" t="s">
        <v>1551</v>
      </c>
      <c r="I402" s="2" t="s">
        <v>24</v>
      </c>
      <c r="J402" s="2"/>
      <c r="K402" s="2" t="s">
        <v>24</v>
      </c>
      <c r="L402" s="2"/>
      <c r="M402" s="2" t="s">
        <v>24</v>
      </c>
      <c r="N402" s="2" t="s">
        <v>35</v>
      </c>
      <c r="O402" s="2" t="s">
        <v>36</v>
      </c>
      <c r="P402" s="2"/>
      <c r="Q402" s="3"/>
      <c r="R402" s="3"/>
    </row>
    <row r="403" customFormat="false" ht="46.25" hidden="false" customHeight="false" outlineLevel="0" collapsed="false">
      <c r="A403" s="2" t="n">
        <v>402</v>
      </c>
      <c r="B403" s="2" t="s">
        <v>942</v>
      </c>
      <c r="C403" s="2" t="s">
        <v>1552</v>
      </c>
      <c r="D403" s="2" t="s">
        <v>1553</v>
      </c>
      <c r="E403" s="2" t="n">
        <v>2026</v>
      </c>
      <c r="F403" s="2" t="s">
        <v>1554</v>
      </c>
      <c r="G403" s="2" t="s">
        <v>946</v>
      </c>
      <c r="H403" s="2" t="s">
        <v>1555</v>
      </c>
      <c r="I403" s="2"/>
      <c r="J403" s="2"/>
      <c r="K403" s="2"/>
      <c r="L403" s="2"/>
      <c r="M403" s="2"/>
      <c r="N403" s="2" t="s">
        <v>128</v>
      </c>
      <c r="O403" s="2" t="s">
        <v>129</v>
      </c>
      <c r="P403" s="2"/>
      <c r="Q403" s="3"/>
      <c r="R403" s="3"/>
    </row>
    <row r="404" customFormat="false" ht="46.25" hidden="false" customHeight="false" outlineLevel="0" collapsed="false">
      <c r="A404" s="2" t="n">
        <v>403</v>
      </c>
      <c r="B404" s="2" t="s">
        <v>942</v>
      </c>
      <c r="C404" s="2" t="s">
        <v>1556</v>
      </c>
      <c r="D404" s="2" t="s">
        <v>1557</v>
      </c>
      <c r="E404" s="2" t="n">
        <v>2025</v>
      </c>
      <c r="F404" s="2" t="s">
        <v>1558</v>
      </c>
      <c r="G404" s="2" t="s">
        <v>946</v>
      </c>
      <c r="H404" s="2" t="s">
        <v>1559</v>
      </c>
      <c r="I404" s="2"/>
      <c r="J404" s="2"/>
      <c r="K404" s="2"/>
      <c r="L404" s="2"/>
      <c r="M404" s="2"/>
      <c r="N404" s="2" t="s">
        <v>128</v>
      </c>
      <c r="O404" s="2" t="s">
        <v>129</v>
      </c>
      <c r="P404" s="2"/>
      <c r="Q404" s="3"/>
      <c r="R404" s="3"/>
    </row>
    <row r="405" customFormat="false" ht="46.25" hidden="false" customHeight="false" outlineLevel="0" collapsed="false">
      <c r="A405" s="2" t="n">
        <v>404</v>
      </c>
      <c r="B405" s="2" t="s">
        <v>942</v>
      </c>
      <c r="C405" s="2" t="s">
        <v>1560</v>
      </c>
      <c r="D405" s="2" t="s">
        <v>1561</v>
      </c>
      <c r="E405" s="2" t="n">
        <v>2026</v>
      </c>
      <c r="F405" s="2" t="s">
        <v>1562</v>
      </c>
      <c r="G405" s="2" t="s">
        <v>946</v>
      </c>
      <c r="H405" s="2" t="s">
        <v>1563</v>
      </c>
      <c r="I405" s="2"/>
      <c r="J405" s="2"/>
      <c r="K405" s="2" t="s">
        <v>24</v>
      </c>
      <c r="L405" s="2"/>
      <c r="M405" s="2"/>
      <c r="N405" s="2" t="s">
        <v>25</v>
      </c>
      <c r="O405" s="2" t="s">
        <v>26</v>
      </c>
      <c r="P405" s="2"/>
      <c r="Q405" s="3"/>
      <c r="R405" s="3"/>
    </row>
    <row r="406" customFormat="false" ht="23.85" hidden="false" customHeight="false" outlineLevel="0" collapsed="false">
      <c r="A406" s="2" t="n">
        <v>405</v>
      </c>
      <c r="B406" s="2" t="s">
        <v>942</v>
      </c>
      <c r="C406" s="2" t="s">
        <v>1564</v>
      </c>
      <c r="D406" s="2" t="s">
        <v>1565</v>
      </c>
      <c r="E406" s="2" t="n">
        <v>2025</v>
      </c>
      <c r="F406" s="2" t="s">
        <v>1566</v>
      </c>
      <c r="G406" s="2" t="s">
        <v>946</v>
      </c>
      <c r="H406" s="2" t="s">
        <v>1567</v>
      </c>
      <c r="I406" s="2"/>
      <c r="J406" s="2"/>
      <c r="K406" s="2"/>
      <c r="L406" s="2"/>
      <c r="M406" s="2"/>
      <c r="N406" s="2" t="s">
        <v>128</v>
      </c>
      <c r="O406" s="2" t="s">
        <v>129</v>
      </c>
      <c r="P406" s="2"/>
      <c r="Q406" s="3"/>
      <c r="R406" s="3"/>
    </row>
    <row r="407" customFormat="false" ht="35.05" hidden="false" customHeight="false" outlineLevel="0" collapsed="false">
      <c r="A407" s="2" t="n">
        <v>406</v>
      </c>
      <c r="B407" s="2" t="s">
        <v>942</v>
      </c>
      <c r="C407" s="2" t="s">
        <v>1568</v>
      </c>
      <c r="D407" s="2" t="s">
        <v>1569</v>
      </c>
      <c r="E407" s="2" t="n">
        <v>2024</v>
      </c>
      <c r="F407" s="2" t="s">
        <v>577</v>
      </c>
      <c r="G407" s="2" t="s">
        <v>1057</v>
      </c>
      <c r="H407" s="2" t="s">
        <v>1570</v>
      </c>
      <c r="I407" s="2" t="s">
        <v>24</v>
      </c>
      <c r="J407" s="2"/>
      <c r="K407" s="2"/>
      <c r="L407" s="2"/>
      <c r="M407" s="2"/>
      <c r="N407" s="2" t="s">
        <v>122</v>
      </c>
      <c r="O407" s="2" t="s">
        <v>1571</v>
      </c>
      <c r="P407" s="2"/>
      <c r="Q407" s="3"/>
      <c r="R407" s="3"/>
    </row>
    <row r="408" customFormat="false" ht="35.05" hidden="false" customHeight="false" outlineLevel="0" collapsed="false">
      <c r="A408" s="2" t="n">
        <v>407</v>
      </c>
      <c r="B408" s="2" t="s">
        <v>942</v>
      </c>
      <c r="C408" s="2" t="s">
        <v>1572</v>
      </c>
      <c r="D408" s="2" t="s">
        <v>1573</v>
      </c>
      <c r="E408" s="2" t="n">
        <v>2026</v>
      </c>
      <c r="F408" s="2" t="s">
        <v>1574</v>
      </c>
      <c r="G408" s="2" t="s">
        <v>946</v>
      </c>
      <c r="H408" s="2" t="s">
        <v>1575</v>
      </c>
      <c r="I408" s="2"/>
      <c r="J408" s="2"/>
      <c r="K408" s="2" t="s">
        <v>24</v>
      </c>
      <c r="L408" s="2"/>
      <c r="M408" s="2"/>
      <c r="N408" s="2" t="s">
        <v>128</v>
      </c>
      <c r="O408" s="2" t="s">
        <v>129</v>
      </c>
      <c r="P408" s="2"/>
      <c r="Q408" s="3"/>
      <c r="R408" s="3"/>
    </row>
    <row r="409" customFormat="false" ht="23.85" hidden="false" customHeight="false" outlineLevel="0" collapsed="false">
      <c r="A409" s="2" t="n">
        <v>408</v>
      </c>
      <c r="B409" s="2" t="s">
        <v>942</v>
      </c>
      <c r="C409" s="2" t="s">
        <v>1576</v>
      </c>
      <c r="D409" s="2" t="s">
        <v>1577</v>
      </c>
      <c r="E409" s="2" t="n">
        <v>2025</v>
      </c>
      <c r="F409" s="2" t="s">
        <v>1578</v>
      </c>
      <c r="G409" s="2" t="s">
        <v>1057</v>
      </c>
      <c r="H409" s="2" t="s">
        <v>1579</v>
      </c>
      <c r="I409" s="2" t="s">
        <v>24</v>
      </c>
      <c r="J409" s="2"/>
      <c r="K409" s="2" t="s">
        <v>24</v>
      </c>
      <c r="L409" s="2"/>
      <c r="M409" s="2" t="s">
        <v>24</v>
      </c>
      <c r="N409" s="2" t="s">
        <v>35</v>
      </c>
      <c r="O409" s="2" t="s">
        <v>36</v>
      </c>
      <c r="P409" s="2"/>
      <c r="Q409" s="3"/>
      <c r="R409" s="3"/>
    </row>
    <row r="410" customFormat="false" ht="23.85" hidden="false" customHeight="false" outlineLevel="0" collapsed="false">
      <c r="A410" s="2" t="n">
        <v>409</v>
      </c>
      <c r="B410" s="2" t="s">
        <v>942</v>
      </c>
      <c r="C410" s="2" t="s">
        <v>1580</v>
      </c>
      <c r="D410" s="2" t="s">
        <v>1581</v>
      </c>
      <c r="E410" s="2" t="n">
        <v>2025</v>
      </c>
      <c r="F410" s="2" t="s">
        <v>47</v>
      </c>
      <c r="G410" s="2" t="s">
        <v>1057</v>
      </c>
      <c r="H410" s="2" t="s">
        <v>1582</v>
      </c>
      <c r="I410" s="2"/>
      <c r="J410" s="2"/>
      <c r="K410" s="2" t="s">
        <v>24</v>
      </c>
      <c r="L410" s="2"/>
      <c r="M410" s="2"/>
      <c r="N410" s="2" t="s">
        <v>128</v>
      </c>
      <c r="O410" s="2" t="s">
        <v>129</v>
      </c>
      <c r="P410" s="2"/>
      <c r="Q410" s="3"/>
      <c r="R410" s="3"/>
    </row>
    <row r="411" customFormat="false" ht="35.05" hidden="false" customHeight="false" outlineLevel="0" collapsed="false">
      <c r="A411" s="2" t="n">
        <v>410</v>
      </c>
      <c r="B411" s="2" t="s">
        <v>942</v>
      </c>
      <c r="C411" s="2" t="s">
        <v>1583</v>
      </c>
      <c r="D411" s="2" t="s">
        <v>1584</v>
      </c>
      <c r="E411" s="2" t="n">
        <v>2025</v>
      </c>
      <c r="F411" s="2" t="s">
        <v>1585</v>
      </c>
      <c r="G411" s="2" t="s">
        <v>946</v>
      </c>
      <c r="H411" s="2" t="s">
        <v>1586</v>
      </c>
      <c r="I411" s="2"/>
      <c r="J411" s="2"/>
      <c r="K411" s="2"/>
      <c r="L411" s="2"/>
      <c r="M411" s="2" t="s">
        <v>24</v>
      </c>
      <c r="N411" s="2" t="s">
        <v>128</v>
      </c>
      <c r="O411" s="2" t="s">
        <v>129</v>
      </c>
      <c r="P411" s="2"/>
      <c r="Q411" s="3"/>
      <c r="R411" s="3"/>
    </row>
    <row r="412" customFormat="false" ht="35.05" hidden="false" customHeight="false" outlineLevel="0" collapsed="false">
      <c r="A412" s="2" t="n">
        <v>411</v>
      </c>
      <c r="B412" s="2" t="s">
        <v>942</v>
      </c>
      <c r="C412" s="2" t="s">
        <v>1587</v>
      </c>
      <c r="D412" s="2" t="s">
        <v>1374</v>
      </c>
      <c r="E412" s="2" t="n">
        <v>2025</v>
      </c>
      <c r="F412" s="2" t="s">
        <v>1588</v>
      </c>
      <c r="G412" s="2" t="s">
        <v>946</v>
      </c>
      <c r="H412" s="2" t="s">
        <v>1589</v>
      </c>
      <c r="I412" s="2"/>
      <c r="J412" s="2"/>
      <c r="K412" s="2"/>
      <c r="L412" s="2"/>
      <c r="M412" s="2" t="s">
        <v>24</v>
      </c>
      <c r="N412" s="2" t="s">
        <v>128</v>
      </c>
      <c r="O412" s="2" t="s">
        <v>129</v>
      </c>
      <c r="P412" s="2"/>
      <c r="Q412" s="3"/>
      <c r="R412" s="3"/>
    </row>
    <row r="413" customFormat="false" ht="35.05" hidden="false" customHeight="false" outlineLevel="0" collapsed="false">
      <c r="A413" s="2" t="n">
        <v>412</v>
      </c>
      <c r="B413" s="2" t="s">
        <v>942</v>
      </c>
      <c r="C413" s="2" t="s">
        <v>1590</v>
      </c>
      <c r="D413" s="2" t="s">
        <v>1591</v>
      </c>
      <c r="E413" s="2" t="n">
        <v>2025</v>
      </c>
      <c r="F413" s="2" t="s">
        <v>1592</v>
      </c>
      <c r="G413" s="2" t="s">
        <v>946</v>
      </c>
      <c r="H413" s="2" t="s">
        <v>1593</v>
      </c>
      <c r="I413" s="2"/>
      <c r="J413" s="2"/>
      <c r="K413" s="2"/>
      <c r="L413" s="2"/>
      <c r="M413" s="2" t="s">
        <v>24</v>
      </c>
      <c r="N413" s="2" t="s">
        <v>25</v>
      </c>
      <c r="O413" s="2" t="s">
        <v>26</v>
      </c>
      <c r="P413" s="2"/>
      <c r="Q413" s="3"/>
      <c r="R413" s="3"/>
    </row>
    <row r="414" customFormat="false" ht="35.05" hidden="false" customHeight="false" outlineLevel="0" collapsed="false">
      <c r="A414" s="2" t="n">
        <v>413</v>
      </c>
      <c r="B414" s="2" t="s">
        <v>942</v>
      </c>
      <c r="C414" s="2" t="s">
        <v>1594</v>
      </c>
      <c r="D414" s="2" t="s">
        <v>1595</v>
      </c>
      <c r="E414" s="2" t="n">
        <v>2026</v>
      </c>
      <c r="F414" s="2" t="s">
        <v>1596</v>
      </c>
      <c r="G414" s="2" t="s">
        <v>946</v>
      </c>
      <c r="H414" s="2" t="s">
        <v>1597</v>
      </c>
      <c r="I414" s="2"/>
      <c r="J414" s="2"/>
      <c r="K414" s="2"/>
      <c r="L414" s="2"/>
      <c r="M414" s="2" t="s">
        <v>24</v>
      </c>
      <c r="N414" s="2" t="s">
        <v>128</v>
      </c>
      <c r="O414" s="2" t="s">
        <v>129</v>
      </c>
      <c r="P414" s="2"/>
      <c r="Q414" s="3"/>
      <c r="R414" s="3"/>
    </row>
    <row r="415" customFormat="false" ht="46.25" hidden="false" customHeight="false" outlineLevel="0" collapsed="false">
      <c r="A415" s="2" t="n">
        <v>414</v>
      </c>
      <c r="B415" s="2" t="s">
        <v>942</v>
      </c>
      <c r="C415" s="2" t="s">
        <v>1598</v>
      </c>
      <c r="D415" s="2" t="s">
        <v>1599</v>
      </c>
      <c r="E415" s="2" t="n">
        <v>2026</v>
      </c>
      <c r="F415" s="2" t="s">
        <v>1600</v>
      </c>
      <c r="G415" s="2" t="s">
        <v>946</v>
      </c>
      <c r="H415" s="2" t="s">
        <v>1601</v>
      </c>
      <c r="I415" s="2"/>
      <c r="J415" s="2"/>
      <c r="K415" s="2" t="s">
        <v>24</v>
      </c>
      <c r="L415" s="2"/>
      <c r="M415" s="2"/>
      <c r="N415" s="2" t="s">
        <v>128</v>
      </c>
      <c r="O415" s="2" t="s">
        <v>129</v>
      </c>
      <c r="P415" s="2"/>
      <c r="Q415" s="3"/>
      <c r="R415" s="3"/>
    </row>
    <row r="416" customFormat="false" ht="35.05" hidden="false" customHeight="false" outlineLevel="0" collapsed="false">
      <c r="A416" s="2" t="n">
        <v>415</v>
      </c>
      <c r="B416" s="2" t="s">
        <v>942</v>
      </c>
      <c r="C416" s="2" t="s">
        <v>1602</v>
      </c>
      <c r="D416" s="2" t="s">
        <v>1603</v>
      </c>
      <c r="E416" s="2" t="n">
        <v>2025</v>
      </c>
      <c r="F416" s="2" t="s">
        <v>1604</v>
      </c>
      <c r="G416" s="2" t="s">
        <v>946</v>
      </c>
      <c r="H416" s="2" t="s">
        <v>1605</v>
      </c>
      <c r="I416" s="2" t="s">
        <v>24</v>
      </c>
      <c r="J416" s="2"/>
      <c r="K416" s="2" t="s">
        <v>24</v>
      </c>
      <c r="L416" s="2"/>
      <c r="M416" s="2"/>
      <c r="N416" s="2" t="s">
        <v>35</v>
      </c>
      <c r="O416" s="2" t="s">
        <v>36</v>
      </c>
      <c r="P416" s="2"/>
      <c r="Q416" s="3"/>
      <c r="R416" s="3"/>
    </row>
    <row r="417" customFormat="false" ht="35.05" hidden="false" customHeight="false" outlineLevel="0" collapsed="false">
      <c r="A417" s="2" t="n">
        <v>416</v>
      </c>
      <c r="B417" s="2" t="s">
        <v>942</v>
      </c>
      <c r="C417" s="2" t="s">
        <v>1606</v>
      </c>
      <c r="D417" s="2" t="s">
        <v>1607</v>
      </c>
      <c r="E417" s="2" t="n">
        <v>2024</v>
      </c>
      <c r="F417" s="2" t="s">
        <v>1608</v>
      </c>
      <c r="G417" s="2" t="s">
        <v>1057</v>
      </c>
      <c r="H417" s="2" t="s">
        <v>1609</v>
      </c>
      <c r="I417" s="2" t="s">
        <v>24</v>
      </c>
      <c r="J417" s="2"/>
      <c r="K417" s="2" t="s">
        <v>24</v>
      </c>
      <c r="L417" s="2"/>
      <c r="M417" s="2"/>
      <c r="N417" s="2" t="s">
        <v>35</v>
      </c>
      <c r="O417" s="2" t="s">
        <v>36</v>
      </c>
      <c r="P417" s="2"/>
      <c r="Q417" s="3"/>
      <c r="R417" s="3"/>
    </row>
    <row r="418" customFormat="false" ht="23.85" hidden="false" customHeight="false" outlineLevel="0" collapsed="false">
      <c r="A418" s="2" t="n">
        <v>417</v>
      </c>
      <c r="B418" s="2" t="s">
        <v>942</v>
      </c>
      <c r="C418" s="2" t="s">
        <v>1610</v>
      </c>
      <c r="D418" s="2" t="s">
        <v>1611</v>
      </c>
      <c r="E418" s="2" t="n">
        <v>2025</v>
      </c>
      <c r="F418" s="2" t="s">
        <v>1612</v>
      </c>
      <c r="G418" s="2" t="s">
        <v>946</v>
      </c>
      <c r="H418" s="2" t="s">
        <v>1613</v>
      </c>
      <c r="I418" s="2"/>
      <c r="J418" s="2"/>
      <c r="K418" s="2"/>
      <c r="L418" s="2"/>
      <c r="M418" s="2" t="s">
        <v>24</v>
      </c>
      <c r="N418" s="2" t="s">
        <v>128</v>
      </c>
      <c r="O418" s="2" t="s">
        <v>129</v>
      </c>
      <c r="P418" s="2"/>
      <c r="Q418" s="3"/>
      <c r="R418" s="3"/>
    </row>
    <row r="419" customFormat="false" ht="46.25" hidden="false" customHeight="false" outlineLevel="0" collapsed="false">
      <c r="A419" s="2" t="n">
        <v>418</v>
      </c>
      <c r="B419" s="2" t="s">
        <v>942</v>
      </c>
      <c r="C419" s="2" t="s">
        <v>1614</v>
      </c>
      <c r="D419" s="2" t="s">
        <v>1615</v>
      </c>
      <c r="E419" s="2" t="n">
        <v>2025</v>
      </c>
      <c r="F419" s="2" t="s">
        <v>1616</v>
      </c>
      <c r="G419" s="2" t="s">
        <v>946</v>
      </c>
      <c r="H419" s="2" t="s">
        <v>1617</v>
      </c>
      <c r="I419" s="2"/>
      <c r="J419" s="2"/>
      <c r="K419" s="2"/>
      <c r="L419" s="2"/>
      <c r="M419" s="2" t="s">
        <v>24</v>
      </c>
      <c r="N419" s="2" t="s">
        <v>128</v>
      </c>
      <c r="O419" s="2" t="s">
        <v>129</v>
      </c>
      <c r="P419" s="2"/>
      <c r="Q419" s="3"/>
      <c r="R419" s="3"/>
    </row>
    <row r="420" customFormat="false" ht="35.05" hidden="false" customHeight="false" outlineLevel="0" collapsed="false">
      <c r="A420" s="2" t="n">
        <v>419</v>
      </c>
      <c r="B420" s="2" t="s">
        <v>942</v>
      </c>
      <c r="C420" s="2" t="s">
        <v>1618</v>
      </c>
      <c r="D420" s="2" t="s">
        <v>1619</v>
      </c>
      <c r="E420" s="2" t="n">
        <v>2026</v>
      </c>
      <c r="F420" s="2" t="s">
        <v>1620</v>
      </c>
      <c r="G420" s="2" t="s">
        <v>946</v>
      </c>
      <c r="H420" s="2" t="s">
        <v>1621</v>
      </c>
      <c r="I420" s="2" t="s">
        <v>24</v>
      </c>
      <c r="J420" s="2"/>
      <c r="K420" s="2"/>
      <c r="L420" s="2"/>
      <c r="M420" s="2" t="s">
        <v>24</v>
      </c>
      <c r="N420" s="2" t="s">
        <v>964</v>
      </c>
      <c r="O420" s="2" t="s">
        <v>965</v>
      </c>
      <c r="P420" s="2"/>
      <c r="Q420" s="3"/>
      <c r="R420" s="3"/>
    </row>
    <row r="421" customFormat="false" ht="46.25" hidden="false" customHeight="false" outlineLevel="0" collapsed="false">
      <c r="A421" s="2" t="n">
        <v>420</v>
      </c>
      <c r="B421" s="2" t="s">
        <v>942</v>
      </c>
      <c r="C421" s="2" t="s">
        <v>1622</v>
      </c>
      <c r="D421" s="2" t="s">
        <v>1623</v>
      </c>
      <c r="E421" s="2" t="n">
        <v>2025</v>
      </c>
      <c r="F421" s="2" t="s">
        <v>1624</v>
      </c>
      <c r="G421" s="2" t="s">
        <v>946</v>
      </c>
      <c r="H421" s="2" t="s">
        <v>1625</v>
      </c>
      <c r="I421" s="2" t="s">
        <v>24</v>
      </c>
      <c r="J421" s="2"/>
      <c r="K421" s="2"/>
      <c r="L421" s="2"/>
      <c r="M421" s="2"/>
      <c r="N421" s="2" t="s">
        <v>964</v>
      </c>
      <c r="O421" s="2" t="s">
        <v>965</v>
      </c>
      <c r="P421" s="2"/>
      <c r="Q421" s="3"/>
      <c r="R421" s="3"/>
    </row>
    <row r="422" customFormat="false" ht="46.25" hidden="false" customHeight="false" outlineLevel="0" collapsed="false">
      <c r="A422" s="2" t="n">
        <v>421</v>
      </c>
      <c r="B422" s="2" t="s">
        <v>942</v>
      </c>
      <c r="C422" s="2" t="s">
        <v>1626</v>
      </c>
      <c r="D422" s="2" t="s">
        <v>1627</v>
      </c>
      <c r="E422" s="2" t="n">
        <v>2025</v>
      </c>
      <c r="F422" s="2" t="s">
        <v>1628</v>
      </c>
      <c r="G422" s="2" t="s">
        <v>946</v>
      </c>
      <c r="H422" s="2" t="s">
        <v>1629</v>
      </c>
      <c r="I422" s="2" t="s">
        <v>24</v>
      </c>
      <c r="J422" s="2"/>
      <c r="K422" s="2" t="s">
        <v>24</v>
      </c>
      <c r="L422" s="2"/>
      <c r="M422" s="2" t="s">
        <v>24</v>
      </c>
      <c r="N422" s="2" t="s">
        <v>35</v>
      </c>
      <c r="O422" s="2" t="s">
        <v>36</v>
      </c>
      <c r="P422" s="2"/>
      <c r="Q422" s="3"/>
      <c r="R422" s="3"/>
    </row>
    <row r="423" customFormat="false" ht="35.05" hidden="false" customHeight="false" outlineLevel="0" collapsed="false">
      <c r="A423" s="2" t="n">
        <v>422</v>
      </c>
      <c r="B423" s="2" t="s">
        <v>942</v>
      </c>
      <c r="C423" s="2" t="s">
        <v>1630</v>
      </c>
      <c r="D423" s="2" t="s">
        <v>1631</v>
      </c>
      <c r="E423" s="2" t="n">
        <v>2026</v>
      </c>
      <c r="F423" s="2" t="s">
        <v>1077</v>
      </c>
      <c r="G423" s="2" t="s">
        <v>946</v>
      </c>
      <c r="H423" s="2" t="s">
        <v>1632</v>
      </c>
      <c r="I423" s="2" t="s">
        <v>24</v>
      </c>
      <c r="J423" s="2"/>
      <c r="K423" s="2" t="s">
        <v>24</v>
      </c>
      <c r="L423" s="2"/>
      <c r="M423" s="2" t="s">
        <v>24</v>
      </c>
      <c r="N423" s="2" t="s">
        <v>158</v>
      </c>
      <c r="O423" s="2" t="s">
        <v>159</v>
      </c>
      <c r="P423" s="2"/>
      <c r="Q423" s="3"/>
      <c r="R423" s="3"/>
    </row>
    <row r="424" customFormat="false" ht="35.05" hidden="false" customHeight="false" outlineLevel="0" collapsed="false">
      <c r="A424" s="2" t="n">
        <v>423</v>
      </c>
      <c r="B424" s="2" t="s">
        <v>942</v>
      </c>
      <c r="C424" s="2" t="s">
        <v>1633</v>
      </c>
      <c r="D424" s="2" t="s">
        <v>1634</v>
      </c>
      <c r="E424" s="2" t="n">
        <v>2025</v>
      </c>
      <c r="F424" s="2" t="s">
        <v>1635</v>
      </c>
      <c r="G424" s="2" t="s">
        <v>946</v>
      </c>
      <c r="H424" s="2" t="s">
        <v>1636</v>
      </c>
      <c r="I424" s="2"/>
      <c r="J424" s="2"/>
      <c r="K424" s="2" t="s">
        <v>24</v>
      </c>
      <c r="L424" s="2"/>
      <c r="M424" s="2"/>
      <c r="N424" s="2" t="s">
        <v>128</v>
      </c>
      <c r="O424" s="2" t="s">
        <v>129</v>
      </c>
      <c r="P424" s="2"/>
      <c r="Q424" s="3"/>
      <c r="R424" s="3"/>
    </row>
    <row r="425" customFormat="false" ht="35.05" hidden="false" customHeight="false" outlineLevel="0" collapsed="false">
      <c r="A425" s="2" t="n">
        <v>424</v>
      </c>
      <c r="B425" s="2" t="s">
        <v>942</v>
      </c>
      <c r="C425" s="2" t="s">
        <v>1637</v>
      </c>
      <c r="D425" s="2" t="s">
        <v>1638</v>
      </c>
      <c r="E425" s="2" t="n">
        <v>2025</v>
      </c>
      <c r="F425" s="2" t="s">
        <v>1639</v>
      </c>
      <c r="G425" s="2" t="s">
        <v>946</v>
      </c>
      <c r="H425" s="2" t="s">
        <v>1640</v>
      </c>
      <c r="I425" s="2" t="s">
        <v>24</v>
      </c>
      <c r="J425" s="2"/>
      <c r="K425" s="2" t="s">
        <v>24</v>
      </c>
      <c r="L425" s="2"/>
      <c r="M425" s="2" t="s">
        <v>24</v>
      </c>
      <c r="N425" s="2" t="s">
        <v>35</v>
      </c>
      <c r="O425" s="2" t="s">
        <v>36</v>
      </c>
      <c r="P425" s="2"/>
      <c r="Q425" s="3"/>
      <c r="R425" s="3"/>
    </row>
    <row r="426" customFormat="false" ht="35.05" hidden="false" customHeight="false" outlineLevel="0" collapsed="false">
      <c r="A426" s="2" t="n">
        <v>425</v>
      </c>
      <c r="B426" s="2" t="s">
        <v>942</v>
      </c>
      <c r="C426" s="2" t="s">
        <v>1641</v>
      </c>
      <c r="D426" s="2" t="s">
        <v>1642</v>
      </c>
      <c r="E426" s="2" t="n">
        <v>2024</v>
      </c>
      <c r="F426" s="2" t="s">
        <v>1643</v>
      </c>
      <c r="G426" s="2" t="s">
        <v>946</v>
      </c>
      <c r="H426" s="2" t="s">
        <v>1644</v>
      </c>
      <c r="I426" s="2" t="s">
        <v>24</v>
      </c>
      <c r="J426" s="2"/>
      <c r="K426" s="2"/>
      <c r="L426" s="2"/>
      <c r="M426" s="2" t="s">
        <v>24</v>
      </c>
      <c r="N426" s="2" t="s">
        <v>964</v>
      </c>
      <c r="O426" s="2" t="s">
        <v>965</v>
      </c>
      <c r="P426" s="2"/>
      <c r="Q426" s="3"/>
      <c r="R426" s="3"/>
    </row>
    <row r="427" customFormat="false" ht="35.05" hidden="false" customHeight="false" outlineLevel="0" collapsed="false">
      <c r="A427" s="2" t="n">
        <v>426</v>
      </c>
      <c r="B427" s="2" t="s">
        <v>942</v>
      </c>
      <c r="C427" s="2" t="s">
        <v>1645</v>
      </c>
      <c r="D427" s="2" t="s">
        <v>1646</v>
      </c>
      <c r="E427" s="2" t="n">
        <v>2025</v>
      </c>
      <c r="F427" s="2" t="s">
        <v>1523</v>
      </c>
      <c r="G427" s="2" t="s">
        <v>946</v>
      </c>
      <c r="H427" s="2" t="s">
        <v>1647</v>
      </c>
      <c r="I427" s="2" t="s">
        <v>24</v>
      </c>
      <c r="J427" s="2"/>
      <c r="K427" s="2" t="s">
        <v>24</v>
      </c>
      <c r="L427" s="2" t="s">
        <v>24</v>
      </c>
      <c r="M427" s="2"/>
      <c r="N427" s="2" t="s">
        <v>25</v>
      </c>
      <c r="O427" s="2" t="s">
        <v>26</v>
      </c>
      <c r="P427" s="2"/>
      <c r="Q427" s="3"/>
      <c r="R427" s="3"/>
    </row>
    <row r="428" customFormat="false" ht="35.05" hidden="false" customHeight="false" outlineLevel="0" collapsed="false">
      <c r="A428" s="2" t="n">
        <v>427</v>
      </c>
      <c r="B428" s="2" t="s">
        <v>942</v>
      </c>
      <c r="C428" s="2" t="s">
        <v>1648</v>
      </c>
      <c r="D428" s="2" t="s">
        <v>1649</v>
      </c>
      <c r="E428" s="2" t="n">
        <v>2025</v>
      </c>
      <c r="F428" s="2" t="s">
        <v>1427</v>
      </c>
      <c r="G428" s="2" t="s">
        <v>946</v>
      </c>
      <c r="H428" s="2" t="s">
        <v>1650</v>
      </c>
      <c r="I428" s="2" t="s">
        <v>24</v>
      </c>
      <c r="J428" s="2"/>
      <c r="K428" s="2" t="s">
        <v>24</v>
      </c>
      <c r="L428" s="2"/>
      <c r="M428" s="2" t="s">
        <v>24</v>
      </c>
      <c r="N428" s="2" t="s">
        <v>158</v>
      </c>
      <c r="O428" s="2" t="s">
        <v>159</v>
      </c>
      <c r="P428" s="2"/>
      <c r="Q428" s="3"/>
      <c r="R428" s="3"/>
    </row>
    <row r="429" customFormat="false" ht="57.45" hidden="false" customHeight="false" outlineLevel="0" collapsed="false">
      <c r="A429" s="2" t="n">
        <v>428</v>
      </c>
      <c r="B429" s="2" t="s">
        <v>942</v>
      </c>
      <c r="C429" s="2" t="s">
        <v>1651</v>
      </c>
      <c r="D429" s="2" t="s">
        <v>1652</v>
      </c>
      <c r="E429" s="2" t="n">
        <v>2026</v>
      </c>
      <c r="F429" s="2" t="s">
        <v>1653</v>
      </c>
      <c r="G429" s="2" t="s">
        <v>946</v>
      </c>
      <c r="H429" s="2" t="s">
        <v>1654</v>
      </c>
      <c r="I429" s="2" t="s">
        <v>24</v>
      </c>
      <c r="J429" s="2"/>
      <c r="K429" s="2" t="s">
        <v>24</v>
      </c>
      <c r="L429" s="2"/>
      <c r="M429" s="2"/>
      <c r="N429" s="2" t="s">
        <v>25</v>
      </c>
      <c r="O429" s="2" t="s">
        <v>26</v>
      </c>
      <c r="P429" s="2"/>
      <c r="Q429" s="3"/>
      <c r="R429" s="3"/>
    </row>
    <row r="430" customFormat="false" ht="57.45" hidden="false" customHeight="false" outlineLevel="0" collapsed="false">
      <c r="A430" s="2" t="n">
        <v>429</v>
      </c>
      <c r="B430" s="2" t="s">
        <v>942</v>
      </c>
      <c r="C430" s="2" t="s">
        <v>1655</v>
      </c>
      <c r="D430" s="2" t="s">
        <v>1656</v>
      </c>
      <c r="E430" s="2" t="n">
        <v>2025</v>
      </c>
      <c r="F430" s="2" t="s">
        <v>1657</v>
      </c>
      <c r="G430" s="2" t="s">
        <v>946</v>
      </c>
      <c r="H430" s="2" t="s">
        <v>1658</v>
      </c>
      <c r="I430" s="2"/>
      <c r="J430" s="2"/>
      <c r="K430" s="2" t="s">
        <v>24</v>
      </c>
      <c r="L430" s="2"/>
      <c r="M430" s="2" t="s">
        <v>24</v>
      </c>
      <c r="N430" s="2" t="s">
        <v>128</v>
      </c>
      <c r="O430" s="2" t="s">
        <v>129</v>
      </c>
      <c r="P430" s="2"/>
      <c r="Q430" s="3"/>
      <c r="R430" s="3"/>
    </row>
    <row r="431" customFormat="false" ht="46.25" hidden="false" customHeight="false" outlineLevel="0" collapsed="false">
      <c r="A431" s="2" t="n">
        <v>430</v>
      </c>
      <c r="B431" s="2" t="s">
        <v>942</v>
      </c>
      <c r="C431" s="2" t="s">
        <v>1659</v>
      </c>
      <c r="D431" s="2" t="s">
        <v>1660</v>
      </c>
      <c r="E431" s="2" t="n">
        <v>2025</v>
      </c>
      <c r="F431" s="2" t="s">
        <v>1661</v>
      </c>
      <c r="G431" s="2" t="s">
        <v>946</v>
      </c>
      <c r="H431" s="2" t="s">
        <v>1662</v>
      </c>
      <c r="I431" s="2" t="s">
        <v>24</v>
      </c>
      <c r="J431" s="2"/>
      <c r="K431" s="2" t="s">
        <v>24</v>
      </c>
      <c r="L431" s="2"/>
      <c r="M431" s="2" t="s">
        <v>24</v>
      </c>
      <c r="N431" s="2" t="s">
        <v>158</v>
      </c>
      <c r="O431" s="2" t="s">
        <v>159</v>
      </c>
      <c r="P431" s="2"/>
      <c r="Q431" s="3"/>
      <c r="R431" s="3"/>
    </row>
    <row r="432" customFormat="false" ht="68.65" hidden="false" customHeight="false" outlineLevel="0" collapsed="false">
      <c r="A432" s="2" t="n">
        <v>431</v>
      </c>
      <c r="B432" s="2" t="s">
        <v>942</v>
      </c>
      <c r="C432" s="2" t="s">
        <v>1663</v>
      </c>
      <c r="D432" s="2" t="s">
        <v>1477</v>
      </c>
      <c r="E432" s="2" t="n">
        <v>2026</v>
      </c>
      <c r="F432" s="2" t="s">
        <v>1664</v>
      </c>
      <c r="G432" s="2" t="s">
        <v>946</v>
      </c>
      <c r="H432" s="2" t="s">
        <v>1665</v>
      </c>
      <c r="I432" s="2"/>
      <c r="J432" s="2"/>
      <c r="K432" s="2" t="s">
        <v>24</v>
      </c>
      <c r="L432" s="2"/>
      <c r="M432" s="2" t="s">
        <v>24</v>
      </c>
      <c r="N432" s="2" t="s">
        <v>128</v>
      </c>
      <c r="O432" s="2" t="s">
        <v>129</v>
      </c>
      <c r="P432" s="2"/>
      <c r="Q432" s="3"/>
      <c r="R432" s="3"/>
    </row>
    <row r="433" customFormat="false" ht="23.85" hidden="false" customHeight="false" outlineLevel="0" collapsed="false">
      <c r="A433" s="2" t="n">
        <v>432</v>
      </c>
      <c r="B433" s="2" t="s">
        <v>942</v>
      </c>
      <c r="C433" s="2" t="s">
        <v>1666</v>
      </c>
      <c r="D433" s="2" t="s">
        <v>1667</v>
      </c>
      <c r="E433" s="2" t="n">
        <v>2025</v>
      </c>
      <c r="F433" s="2" t="s">
        <v>47</v>
      </c>
      <c r="G433" s="2" t="s">
        <v>1057</v>
      </c>
      <c r="H433" s="2" t="s">
        <v>1668</v>
      </c>
      <c r="I433" s="2"/>
      <c r="J433" s="2"/>
      <c r="K433" s="2" t="s">
        <v>24</v>
      </c>
      <c r="L433" s="2"/>
      <c r="M433" s="2"/>
      <c r="N433" s="2" t="s">
        <v>25</v>
      </c>
      <c r="O433" s="2" t="s">
        <v>26</v>
      </c>
      <c r="P433" s="2"/>
      <c r="Q433" s="3"/>
      <c r="R433" s="3"/>
    </row>
    <row r="434" customFormat="false" ht="46.25" hidden="false" customHeight="false" outlineLevel="0" collapsed="false">
      <c r="A434" s="2" t="n">
        <v>433</v>
      </c>
      <c r="B434" s="2" t="s">
        <v>942</v>
      </c>
      <c r="C434" s="2" t="s">
        <v>1669</v>
      </c>
      <c r="D434" s="2" t="s">
        <v>1670</v>
      </c>
      <c r="E434" s="2" t="n">
        <v>2025</v>
      </c>
      <c r="F434" s="2" t="s">
        <v>1671</v>
      </c>
      <c r="G434" s="2" t="s">
        <v>946</v>
      </c>
      <c r="H434" s="2" t="s">
        <v>1672</v>
      </c>
      <c r="I434" s="2"/>
      <c r="J434" s="2"/>
      <c r="K434" s="2" t="s">
        <v>24</v>
      </c>
      <c r="L434" s="2"/>
      <c r="M434" s="2"/>
      <c r="N434" s="2" t="s">
        <v>128</v>
      </c>
      <c r="O434" s="2" t="s">
        <v>129</v>
      </c>
      <c r="P434" s="2"/>
      <c r="Q434" s="3"/>
      <c r="R434" s="3"/>
    </row>
    <row r="435" customFormat="false" ht="91" hidden="false" customHeight="false" outlineLevel="0" collapsed="false">
      <c r="A435" s="2" t="n">
        <v>434</v>
      </c>
      <c r="B435" s="2" t="s">
        <v>942</v>
      </c>
      <c r="C435" s="2" t="s">
        <v>1673</v>
      </c>
      <c r="D435" s="2" t="s">
        <v>1674</v>
      </c>
      <c r="E435" s="2" t="n">
        <v>2024</v>
      </c>
      <c r="F435" s="2" t="s">
        <v>1675</v>
      </c>
      <c r="G435" s="2" t="s">
        <v>946</v>
      </c>
      <c r="H435" s="2" t="s">
        <v>1676</v>
      </c>
      <c r="I435" s="2"/>
      <c r="J435" s="2"/>
      <c r="K435" s="2" t="s">
        <v>24</v>
      </c>
      <c r="L435" s="2"/>
      <c r="M435" s="2"/>
      <c r="N435" s="2" t="s">
        <v>128</v>
      </c>
      <c r="O435" s="2" t="s">
        <v>129</v>
      </c>
      <c r="P435" s="2"/>
      <c r="Q435" s="3"/>
      <c r="R435" s="3"/>
    </row>
    <row r="436" customFormat="false" ht="46.25" hidden="false" customHeight="false" outlineLevel="0" collapsed="false">
      <c r="A436" s="2" t="n">
        <v>435</v>
      </c>
      <c r="B436" s="2" t="s">
        <v>942</v>
      </c>
      <c r="C436" s="2" t="s">
        <v>1677</v>
      </c>
      <c r="D436" s="2" t="s">
        <v>1678</v>
      </c>
      <c r="E436" s="2" t="n">
        <v>2026</v>
      </c>
      <c r="F436" s="2" t="s">
        <v>1679</v>
      </c>
      <c r="G436" s="2" t="s">
        <v>946</v>
      </c>
      <c r="H436" s="2" t="s">
        <v>1680</v>
      </c>
      <c r="I436" s="2" t="s">
        <v>24</v>
      </c>
      <c r="J436" s="2"/>
      <c r="K436" s="2" t="s">
        <v>24</v>
      </c>
      <c r="L436" s="2"/>
      <c r="M436" s="2" t="s">
        <v>24</v>
      </c>
      <c r="N436" s="2" t="s">
        <v>25</v>
      </c>
      <c r="O436" s="2" t="s">
        <v>26</v>
      </c>
      <c r="P436" s="2"/>
      <c r="Q436" s="3"/>
      <c r="R436" s="3"/>
    </row>
    <row r="437" customFormat="false" ht="23.85" hidden="false" customHeight="false" outlineLevel="0" collapsed="false">
      <c r="A437" s="2" t="n">
        <v>436</v>
      </c>
      <c r="B437" s="2" t="s">
        <v>942</v>
      </c>
      <c r="C437" s="2" t="s">
        <v>1681</v>
      </c>
      <c r="D437" s="2" t="s">
        <v>1682</v>
      </c>
      <c r="E437" s="2" t="n">
        <v>2026</v>
      </c>
      <c r="F437" s="2" t="s">
        <v>1493</v>
      </c>
      <c r="G437" s="2" t="s">
        <v>1057</v>
      </c>
      <c r="H437" s="2" t="s">
        <v>1683</v>
      </c>
      <c r="I437" s="2"/>
      <c r="J437" s="2"/>
      <c r="K437" s="2" t="s">
        <v>24</v>
      </c>
      <c r="L437" s="2"/>
      <c r="M437" s="2"/>
      <c r="N437" s="2" t="s">
        <v>128</v>
      </c>
      <c r="O437" s="2" t="s">
        <v>129</v>
      </c>
      <c r="P437" s="2"/>
      <c r="Q437" s="3"/>
      <c r="R437" s="3"/>
    </row>
    <row r="438" customFormat="false" ht="35.05" hidden="false" customHeight="false" outlineLevel="0" collapsed="false">
      <c r="A438" s="2" t="n">
        <v>437</v>
      </c>
      <c r="B438" s="2" t="s">
        <v>942</v>
      </c>
      <c r="C438" s="2" t="s">
        <v>1684</v>
      </c>
      <c r="D438" s="2" t="s">
        <v>1685</v>
      </c>
      <c r="E438" s="2" t="n">
        <v>2024</v>
      </c>
      <c r="F438" s="2" t="s">
        <v>1686</v>
      </c>
      <c r="G438" s="2" t="s">
        <v>946</v>
      </c>
      <c r="H438" s="2" t="s">
        <v>1687</v>
      </c>
      <c r="I438" s="2"/>
      <c r="J438" s="2"/>
      <c r="K438" s="2"/>
      <c r="L438" s="2"/>
      <c r="M438" s="2" t="s">
        <v>24</v>
      </c>
      <c r="N438" s="2" t="s">
        <v>122</v>
      </c>
      <c r="O438" s="2" t="s">
        <v>1688</v>
      </c>
      <c r="P438" s="2"/>
      <c r="Q438" s="3"/>
      <c r="R438" s="3"/>
    </row>
    <row r="439" customFormat="false" ht="35.05" hidden="false" customHeight="false" outlineLevel="0" collapsed="false">
      <c r="A439" s="2" t="n">
        <v>438</v>
      </c>
      <c r="B439" s="2" t="s">
        <v>942</v>
      </c>
      <c r="C439" s="2" t="s">
        <v>1689</v>
      </c>
      <c r="D439" s="2" t="s">
        <v>1690</v>
      </c>
      <c r="E439" s="2" t="n">
        <v>2026</v>
      </c>
      <c r="F439" s="2" t="s">
        <v>1691</v>
      </c>
      <c r="G439" s="2" t="s">
        <v>946</v>
      </c>
      <c r="H439" s="2" t="s">
        <v>1692</v>
      </c>
      <c r="I439" s="2"/>
      <c r="J439" s="2"/>
      <c r="K439" s="2"/>
      <c r="L439" s="2"/>
      <c r="M439" s="2"/>
      <c r="N439" s="2" t="s">
        <v>25</v>
      </c>
      <c r="O439" s="2" t="s">
        <v>26</v>
      </c>
      <c r="P439" s="2"/>
      <c r="Q439" s="3"/>
      <c r="R439" s="3"/>
    </row>
    <row r="440" customFormat="false" ht="46.25" hidden="false" customHeight="false" outlineLevel="0" collapsed="false">
      <c r="A440" s="2" t="n">
        <v>439</v>
      </c>
      <c r="B440" s="2" t="s">
        <v>942</v>
      </c>
      <c r="C440" s="2" t="s">
        <v>1693</v>
      </c>
      <c r="D440" s="2" t="s">
        <v>1694</v>
      </c>
      <c r="E440" s="2" t="n">
        <v>2026</v>
      </c>
      <c r="F440" s="2" t="s">
        <v>954</v>
      </c>
      <c r="G440" s="2" t="s">
        <v>946</v>
      </c>
      <c r="H440" s="2" t="s">
        <v>1695</v>
      </c>
      <c r="I440" s="2"/>
      <c r="J440" s="2"/>
      <c r="K440" s="2" t="s">
        <v>24</v>
      </c>
      <c r="L440" s="2"/>
      <c r="M440" s="2"/>
      <c r="N440" s="2" t="s">
        <v>128</v>
      </c>
      <c r="O440" s="2" t="s">
        <v>129</v>
      </c>
      <c r="P440" s="2"/>
      <c r="Q440" s="3"/>
      <c r="R440" s="3"/>
    </row>
    <row r="441" customFormat="false" ht="35.05" hidden="false" customHeight="false" outlineLevel="0" collapsed="false">
      <c r="A441" s="2" t="n">
        <v>440</v>
      </c>
      <c r="B441" s="2" t="s">
        <v>942</v>
      </c>
      <c r="C441" s="2" t="s">
        <v>1696</v>
      </c>
      <c r="D441" s="2" t="s">
        <v>1697</v>
      </c>
      <c r="E441" s="2" t="n">
        <v>2026</v>
      </c>
      <c r="F441" s="2" t="s">
        <v>1186</v>
      </c>
      <c r="G441" s="2" t="s">
        <v>946</v>
      </c>
      <c r="H441" s="2" t="s">
        <v>1698</v>
      </c>
      <c r="I441" s="2"/>
      <c r="J441" s="2"/>
      <c r="K441" s="2" t="s">
        <v>24</v>
      </c>
      <c r="L441" s="2"/>
      <c r="M441" s="2" t="s">
        <v>24</v>
      </c>
      <c r="N441" s="2" t="s">
        <v>128</v>
      </c>
      <c r="O441" s="2" t="s">
        <v>129</v>
      </c>
      <c r="P441" s="2"/>
      <c r="Q441" s="3"/>
      <c r="R441" s="3"/>
    </row>
    <row r="442" customFormat="false" ht="35.05" hidden="false" customHeight="false" outlineLevel="0" collapsed="false">
      <c r="A442" s="2" t="n">
        <v>441</v>
      </c>
      <c r="B442" s="2" t="s">
        <v>942</v>
      </c>
      <c r="C442" s="2" t="s">
        <v>1699</v>
      </c>
      <c r="D442" s="2" t="s">
        <v>1700</v>
      </c>
      <c r="E442" s="2" t="n">
        <v>2025</v>
      </c>
      <c r="F442" s="2" t="s">
        <v>1701</v>
      </c>
      <c r="G442" s="2" t="s">
        <v>946</v>
      </c>
      <c r="H442" s="2" t="s">
        <v>1702</v>
      </c>
      <c r="I442" s="2"/>
      <c r="J442" s="2"/>
      <c r="K442" s="2"/>
      <c r="L442" s="2"/>
      <c r="M442" s="2" t="s">
        <v>24</v>
      </c>
      <c r="N442" s="2" t="s">
        <v>128</v>
      </c>
      <c r="O442" s="2" t="s">
        <v>129</v>
      </c>
      <c r="P442" s="2"/>
      <c r="Q442" s="3"/>
      <c r="R442" s="3"/>
    </row>
    <row r="443" customFormat="false" ht="23.85" hidden="false" customHeight="false" outlineLevel="0" collapsed="false">
      <c r="A443" s="2" t="n">
        <v>442</v>
      </c>
      <c r="B443" s="2" t="s">
        <v>942</v>
      </c>
      <c r="C443" s="2" t="s">
        <v>1703</v>
      </c>
      <c r="D443" s="2" t="s">
        <v>1704</v>
      </c>
      <c r="E443" s="2" t="n">
        <v>2026</v>
      </c>
      <c r="F443" s="2" t="s">
        <v>47</v>
      </c>
      <c r="G443" s="2" t="s">
        <v>1057</v>
      </c>
      <c r="H443" s="2" t="s">
        <v>1705</v>
      </c>
      <c r="I443" s="2"/>
      <c r="J443" s="2"/>
      <c r="K443" s="2"/>
      <c r="L443" s="2"/>
      <c r="M443" s="2"/>
      <c r="N443" s="2" t="s">
        <v>128</v>
      </c>
      <c r="O443" s="2" t="s">
        <v>129</v>
      </c>
      <c r="P443" s="2"/>
      <c r="Q443" s="3"/>
      <c r="R443" s="3"/>
    </row>
    <row r="444" customFormat="false" ht="35.05" hidden="false" customHeight="false" outlineLevel="0" collapsed="false">
      <c r="A444" s="2" t="n">
        <v>443</v>
      </c>
      <c r="B444" s="2" t="s">
        <v>942</v>
      </c>
      <c r="C444" s="2" t="s">
        <v>1706</v>
      </c>
      <c r="D444" s="2" t="s">
        <v>1707</v>
      </c>
      <c r="E444" s="2" t="n">
        <v>2025</v>
      </c>
      <c r="F444" s="2" t="s">
        <v>1708</v>
      </c>
      <c r="G444" s="2" t="s">
        <v>946</v>
      </c>
      <c r="H444" s="2" t="s">
        <v>1709</v>
      </c>
      <c r="I444" s="2"/>
      <c r="J444" s="2"/>
      <c r="K444" s="2"/>
      <c r="L444" s="2"/>
      <c r="M444" s="2" t="s">
        <v>24</v>
      </c>
      <c r="N444" s="2" t="s">
        <v>128</v>
      </c>
      <c r="O444" s="2" t="s">
        <v>129</v>
      </c>
      <c r="P444" s="2"/>
      <c r="Q444" s="3"/>
      <c r="R444" s="3"/>
    </row>
    <row r="445" customFormat="false" ht="46.25" hidden="false" customHeight="false" outlineLevel="0" collapsed="false">
      <c r="A445" s="2" t="n">
        <v>444</v>
      </c>
      <c r="B445" s="2" t="s">
        <v>942</v>
      </c>
      <c r="C445" s="2" t="s">
        <v>1710</v>
      </c>
      <c r="D445" s="2" t="s">
        <v>1711</v>
      </c>
      <c r="E445" s="2" t="n">
        <v>2024</v>
      </c>
      <c r="F445" s="2" t="s">
        <v>1712</v>
      </c>
      <c r="G445" s="2" t="s">
        <v>946</v>
      </c>
      <c r="H445" s="2" t="s">
        <v>1713</v>
      </c>
      <c r="I445" s="2"/>
      <c r="J445" s="2"/>
      <c r="K445" s="2"/>
      <c r="L445" s="2"/>
      <c r="M445" s="2"/>
      <c r="N445" s="2" t="s">
        <v>128</v>
      </c>
      <c r="O445" s="2" t="s">
        <v>129</v>
      </c>
      <c r="P445" s="2"/>
      <c r="Q445" s="3"/>
      <c r="R445" s="3"/>
    </row>
    <row r="446" customFormat="false" ht="46.25" hidden="false" customHeight="false" outlineLevel="0" collapsed="false">
      <c r="A446" s="2" t="n">
        <v>445</v>
      </c>
      <c r="B446" s="2" t="s">
        <v>942</v>
      </c>
      <c r="C446" s="2" t="s">
        <v>1714</v>
      </c>
      <c r="D446" s="2" t="s">
        <v>1715</v>
      </c>
      <c r="E446" s="2" t="n">
        <v>2025</v>
      </c>
      <c r="F446" s="2" t="s">
        <v>1716</v>
      </c>
      <c r="G446" s="2" t="s">
        <v>946</v>
      </c>
      <c r="H446" s="2" t="s">
        <v>1717</v>
      </c>
      <c r="I446" s="2"/>
      <c r="J446" s="2"/>
      <c r="K446" s="2"/>
      <c r="L446" s="2"/>
      <c r="M446" s="2"/>
      <c r="N446" s="2" t="s">
        <v>128</v>
      </c>
      <c r="O446" s="2" t="s">
        <v>129</v>
      </c>
      <c r="P446" s="2"/>
      <c r="Q446" s="3"/>
      <c r="R446" s="3"/>
    </row>
    <row r="447" customFormat="false" ht="35.05" hidden="false" customHeight="false" outlineLevel="0" collapsed="false">
      <c r="A447" s="2" t="n">
        <v>446</v>
      </c>
      <c r="B447" s="2" t="s">
        <v>942</v>
      </c>
      <c r="C447" s="2" t="s">
        <v>1718</v>
      </c>
      <c r="D447" s="2" t="s">
        <v>1719</v>
      </c>
      <c r="E447" s="2" t="n">
        <v>2025</v>
      </c>
      <c r="F447" s="2" t="s">
        <v>1720</v>
      </c>
      <c r="G447" s="2" t="s">
        <v>946</v>
      </c>
      <c r="H447" s="2" t="s">
        <v>1721</v>
      </c>
      <c r="I447" s="2"/>
      <c r="J447" s="2"/>
      <c r="K447" s="2"/>
      <c r="L447" s="2"/>
      <c r="M447" s="2"/>
      <c r="N447" s="2" t="s">
        <v>25</v>
      </c>
      <c r="O447" s="2" t="s">
        <v>26</v>
      </c>
      <c r="P447" s="2"/>
      <c r="Q447" s="3"/>
      <c r="R447" s="3"/>
    </row>
    <row r="448" customFormat="false" ht="46.25" hidden="false" customHeight="false" outlineLevel="0" collapsed="false">
      <c r="A448" s="2" t="n">
        <v>447</v>
      </c>
      <c r="B448" s="2" t="s">
        <v>942</v>
      </c>
      <c r="C448" s="2" t="s">
        <v>1722</v>
      </c>
      <c r="D448" s="2" t="s">
        <v>1723</v>
      </c>
      <c r="E448" s="2" t="n">
        <v>2026</v>
      </c>
      <c r="F448" s="2" t="s">
        <v>1724</v>
      </c>
      <c r="G448" s="2" t="s">
        <v>946</v>
      </c>
      <c r="H448" s="2" t="s">
        <v>1725</v>
      </c>
      <c r="I448" s="2"/>
      <c r="J448" s="2"/>
      <c r="K448" s="2"/>
      <c r="L448" s="2"/>
      <c r="M448" s="2" t="s">
        <v>24</v>
      </c>
      <c r="N448" s="2" t="s">
        <v>25</v>
      </c>
      <c r="O448" s="2" t="s">
        <v>26</v>
      </c>
      <c r="P448" s="2"/>
      <c r="Q448" s="3"/>
      <c r="R448" s="3"/>
    </row>
    <row r="449" customFormat="false" ht="35.05" hidden="false" customHeight="false" outlineLevel="0" collapsed="false">
      <c r="A449" s="2" t="n">
        <v>448</v>
      </c>
      <c r="B449" s="2" t="s">
        <v>942</v>
      </c>
      <c r="C449" s="2" t="s">
        <v>1726</v>
      </c>
      <c r="D449" s="2" t="s">
        <v>1727</v>
      </c>
      <c r="E449" s="2" t="n">
        <v>2026</v>
      </c>
      <c r="F449" s="2" t="s">
        <v>1198</v>
      </c>
      <c r="G449" s="2" t="s">
        <v>946</v>
      </c>
      <c r="H449" s="2" t="s">
        <v>1728</v>
      </c>
      <c r="I449" s="2"/>
      <c r="J449" s="2"/>
      <c r="K449" s="2"/>
      <c r="L449" s="2"/>
      <c r="M449" s="2"/>
      <c r="N449" s="2" t="s">
        <v>25</v>
      </c>
      <c r="O449" s="2" t="s">
        <v>26</v>
      </c>
      <c r="P449" s="2"/>
      <c r="Q449" s="3"/>
      <c r="R449" s="3"/>
    </row>
    <row r="450" customFormat="false" ht="23.85" hidden="false" customHeight="false" outlineLevel="0" collapsed="false">
      <c r="A450" s="2" t="n">
        <v>449</v>
      </c>
      <c r="B450" s="2" t="s">
        <v>942</v>
      </c>
      <c r="C450" s="2" t="s">
        <v>1729</v>
      </c>
      <c r="D450" s="2" t="s">
        <v>1730</v>
      </c>
      <c r="E450" s="2" t="n">
        <v>2026</v>
      </c>
      <c r="F450" s="2" t="s">
        <v>47</v>
      </c>
      <c r="G450" s="2" t="s">
        <v>1057</v>
      </c>
      <c r="H450" s="2" t="s">
        <v>1731</v>
      </c>
      <c r="I450" s="2" t="s">
        <v>24</v>
      </c>
      <c r="J450" s="2"/>
      <c r="K450" s="2" t="s">
        <v>24</v>
      </c>
      <c r="L450" s="2"/>
      <c r="M450" s="2" t="s">
        <v>24</v>
      </c>
      <c r="N450" s="2" t="s">
        <v>35</v>
      </c>
      <c r="O450" s="2" t="s">
        <v>36</v>
      </c>
      <c r="P450" s="2"/>
      <c r="Q450" s="3"/>
      <c r="R450" s="3"/>
    </row>
    <row r="451" customFormat="false" ht="23.85" hidden="false" customHeight="false" outlineLevel="0" collapsed="false">
      <c r="A451" s="2" t="n">
        <v>450</v>
      </c>
      <c r="B451" s="2" t="s">
        <v>942</v>
      </c>
      <c r="C451" s="2" t="s">
        <v>1732</v>
      </c>
      <c r="D451" s="2" t="s">
        <v>1733</v>
      </c>
      <c r="E451" s="2" t="n">
        <v>2026</v>
      </c>
      <c r="F451" s="2" t="s">
        <v>1734</v>
      </c>
      <c r="G451" s="2" t="s">
        <v>946</v>
      </c>
      <c r="H451" s="2" t="s">
        <v>1735</v>
      </c>
      <c r="I451" s="2"/>
      <c r="J451" s="2"/>
      <c r="K451" s="2" t="s">
        <v>24</v>
      </c>
      <c r="L451" s="2"/>
      <c r="M451" s="2" t="s">
        <v>24</v>
      </c>
      <c r="N451" s="2" t="s">
        <v>128</v>
      </c>
      <c r="O451" s="2" t="s">
        <v>129</v>
      </c>
      <c r="P451" s="2"/>
      <c r="Q451" s="3"/>
      <c r="R451" s="3"/>
    </row>
    <row r="452" customFormat="false" ht="35.05" hidden="false" customHeight="false" outlineLevel="0" collapsed="false">
      <c r="A452" s="2" t="n">
        <v>451</v>
      </c>
      <c r="B452" s="2" t="s">
        <v>942</v>
      </c>
      <c r="C452" s="2" t="s">
        <v>1736</v>
      </c>
      <c r="D452" s="2" t="s">
        <v>1737</v>
      </c>
      <c r="E452" s="2" t="n">
        <v>2025</v>
      </c>
      <c r="F452" s="2" t="s">
        <v>1738</v>
      </c>
      <c r="G452" s="2" t="s">
        <v>946</v>
      </c>
      <c r="H452" s="2" t="s">
        <v>1739</v>
      </c>
      <c r="I452" s="2" t="s">
        <v>24</v>
      </c>
      <c r="J452" s="2"/>
      <c r="K452" s="2" t="s">
        <v>24</v>
      </c>
      <c r="L452" s="2"/>
      <c r="M452" s="2"/>
      <c r="N452" s="2" t="s">
        <v>25</v>
      </c>
      <c r="O452" s="2" t="s">
        <v>26</v>
      </c>
      <c r="P452" s="2"/>
      <c r="Q452" s="3"/>
      <c r="R452" s="3"/>
    </row>
    <row r="453" customFormat="false" ht="35.05" hidden="false" customHeight="false" outlineLevel="0" collapsed="false">
      <c r="A453" s="2" t="n">
        <v>452</v>
      </c>
      <c r="B453" s="2" t="s">
        <v>942</v>
      </c>
      <c r="C453" s="2" t="s">
        <v>1740</v>
      </c>
      <c r="D453" s="2" t="s">
        <v>1741</v>
      </c>
      <c r="E453" s="2" t="n">
        <v>2025</v>
      </c>
      <c r="F453" s="2" t="s">
        <v>47</v>
      </c>
      <c r="G453" s="2" t="s">
        <v>1057</v>
      </c>
      <c r="H453" s="2" t="s">
        <v>1742</v>
      </c>
      <c r="I453" s="2" t="s">
        <v>24</v>
      </c>
      <c r="J453" s="2"/>
      <c r="K453" s="2"/>
      <c r="L453" s="2"/>
      <c r="M453" s="2" t="s">
        <v>24</v>
      </c>
      <c r="N453" s="2" t="s">
        <v>25</v>
      </c>
      <c r="O453" s="2" t="s">
        <v>26</v>
      </c>
      <c r="P453" s="2"/>
      <c r="Q453" s="3"/>
      <c r="R453" s="3"/>
    </row>
    <row r="454" customFormat="false" ht="23.85" hidden="false" customHeight="false" outlineLevel="0" collapsed="false">
      <c r="A454" s="2" t="n">
        <v>453</v>
      </c>
      <c r="B454" s="2" t="s">
        <v>942</v>
      </c>
      <c r="C454" s="2" t="s">
        <v>1743</v>
      </c>
      <c r="D454" s="2" t="s">
        <v>1744</v>
      </c>
      <c r="E454" s="2" t="n">
        <v>2021</v>
      </c>
      <c r="F454" s="2" t="s">
        <v>47</v>
      </c>
      <c r="G454" s="2" t="s">
        <v>1057</v>
      </c>
      <c r="H454" s="2" t="s">
        <v>1745</v>
      </c>
      <c r="I454" s="2"/>
      <c r="J454" s="2"/>
      <c r="K454" s="2"/>
      <c r="L454" s="2"/>
      <c r="M454" s="2"/>
      <c r="N454" s="2" t="s">
        <v>25</v>
      </c>
      <c r="O454" s="2" t="s">
        <v>26</v>
      </c>
      <c r="P454" s="2"/>
      <c r="Q454" s="3"/>
      <c r="R454" s="3"/>
    </row>
    <row r="455" customFormat="false" ht="46.25" hidden="false" customHeight="false" outlineLevel="0" collapsed="false">
      <c r="A455" s="2" t="n">
        <v>454</v>
      </c>
      <c r="B455" s="2" t="s">
        <v>942</v>
      </c>
      <c r="C455" s="2" t="s">
        <v>1746</v>
      </c>
      <c r="D455" s="2" t="s">
        <v>1747</v>
      </c>
      <c r="E455" s="2" t="n">
        <v>2026</v>
      </c>
      <c r="F455" s="2" t="s">
        <v>1084</v>
      </c>
      <c r="G455" s="2" t="s">
        <v>946</v>
      </c>
      <c r="H455" s="2" t="s">
        <v>1748</v>
      </c>
      <c r="I455" s="2"/>
      <c r="J455" s="2"/>
      <c r="K455" s="2" t="s">
        <v>24</v>
      </c>
      <c r="L455" s="2"/>
      <c r="M455" s="2" t="s">
        <v>24</v>
      </c>
      <c r="N455" s="2" t="s">
        <v>128</v>
      </c>
      <c r="O455" s="2" t="s">
        <v>129</v>
      </c>
      <c r="P455" s="2"/>
      <c r="Q455" s="3"/>
      <c r="R455" s="3"/>
    </row>
    <row r="456" customFormat="false" ht="35.05" hidden="false" customHeight="false" outlineLevel="0" collapsed="false">
      <c r="A456" s="2" t="n">
        <v>455</v>
      </c>
      <c r="B456" s="2" t="s">
        <v>942</v>
      </c>
      <c r="C456" s="2" t="s">
        <v>1749</v>
      </c>
      <c r="D456" s="2" t="s">
        <v>1750</v>
      </c>
      <c r="E456" s="2" t="n">
        <v>2025</v>
      </c>
      <c r="F456" s="2" t="s">
        <v>1539</v>
      </c>
      <c r="G456" s="2" t="s">
        <v>946</v>
      </c>
      <c r="H456" s="2" t="s">
        <v>1751</v>
      </c>
      <c r="I456" s="2"/>
      <c r="J456" s="2"/>
      <c r="K456" s="2" t="s">
        <v>24</v>
      </c>
      <c r="L456" s="2"/>
      <c r="M456" s="2" t="s">
        <v>24</v>
      </c>
      <c r="N456" s="2" t="s">
        <v>128</v>
      </c>
      <c r="O456" s="2" t="s">
        <v>129</v>
      </c>
      <c r="P456" s="2"/>
      <c r="Q456" s="3"/>
      <c r="R456" s="3"/>
    </row>
    <row r="457" customFormat="false" ht="35.05" hidden="false" customHeight="false" outlineLevel="0" collapsed="false">
      <c r="A457" s="2" t="n">
        <v>456</v>
      </c>
      <c r="B457" s="2" t="s">
        <v>942</v>
      </c>
      <c r="C457" s="2" t="s">
        <v>1752</v>
      </c>
      <c r="D457" s="2" t="s">
        <v>1753</v>
      </c>
      <c r="E457" s="2" t="n">
        <v>2026</v>
      </c>
      <c r="F457" s="2" t="s">
        <v>1754</v>
      </c>
      <c r="G457" s="2" t="s">
        <v>946</v>
      </c>
      <c r="H457" s="2" t="s">
        <v>1755</v>
      </c>
      <c r="I457" s="2" t="s">
        <v>24</v>
      </c>
      <c r="J457" s="2"/>
      <c r="K457" s="2" t="s">
        <v>24</v>
      </c>
      <c r="L457" s="2"/>
      <c r="M457" s="2" t="s">
        <v>24</v>
      </c>
      <c r="N457" s="2" t="s">
        <v>35</v>
      </c>
      <c r="O457" s="2" t="s">
        <v>36</v>
      </c>
      <c r="P457" s="2"/>
      <c r="Q457" s="3"/>
      <c r="R457" s="3"/>
    </row>
    <row r="458" customFormat="false" ht="102.2" hidden="false" customHeight="false" outlineLevel="0" collapsed="false">
      <c r="A458" s="2" t="n">
        <v>457</v>
      </c>
      <c r="B458" s="2" t="s">
        <v>942</v>
      </c>
      <c r="C458" s="2" t="s">
        <v>1756</v>
      </c>
      <c r="D458" s="2" t="s">
        <v>1757</v>
      </c>
      <c r="E458" s="2" t="n">
        <v>2025</v>
      </c>
      <c r="F458" s="2" t="s">
        <v>1758</v>
      </c>
      <c r="G458" s="2" t="s">
        <v>946</v>
      </c>
      <c r="H458" s="2" t="s">
        <v>1759</v>
      </c>
      <c r="I458" s="2"/>
      <c r="J458" s="2"/>
      <c r="K458" s="2" t="s">
        <v>24</v>
      </c>
      <c r="L458" s="2"/>
      <c r="M458" s="2"/>
      <c r="N458" s="2" t="s">
        <v>128</v>
      </c>
      <c r="O458" s="2" t="s">
        <v>129</v>
      </c>
      <c r="P458" s="2"/>
      <c r="Q458" s="3"/>
      <c r="R458" s="3"/>
    </row>
    <row r="459" customFormat="false" ht="46.25" hidden="false" customHeight="false" outlineLevel="0" collapsed="false">
      <c r="A459" s="2" t="n">
        <v>458</v>
      </c>
      <c r="B459" s="2" t="s">
        <v>942</v>
      </c>
      <c r="C459" s="2" t="s">
        <v>1760</v>
      </c>
      <c r="D459" s="2" t="s">
        <v>1761</v>
      </c>
      <c r="E459" s="2" t="n">
        <v>2026</v>
      </c>
      <c r="F459" s="2" t="s">
        <v>1762</v>
      </c>
      <c r="G459" s="2" t="s">
        <v>946</v>
      </c>
      <c r="H459" s="2" t="s">
        <v>1763</v>
      </c>
      <c r="I459" s="2" t="s">
        <v>24</v>
      </c>
      <c r="J459" s="2"/>
      <c r="K459" s="2" t="s">
        <v>24</v>
      </c>
      <c r="L459" s="2"/>
      <c r="M459" s="2" t="s">
        <v>24</v>
      </c>
      <c r="N459" s="2" t="s">
        <v>25</v>
      </c>
      <c r="O459" s="2" t="s">
        <v>26</v>
      </c>
      <c r="P459" s="2"/>
      <c r="Q459" s="3"/>
      <c r="R459" s="3"/>
    </row>
    <row r="460" customFormat="false" ht="46.25" hidden="false" customHeight="false" outlineLevel="0" collapsed="false">
      <c r="A460" s="2" t="n">
        <v>459</v>
      </c>
      <c r="B460" s="2" t="s">
        <v>942</v>
      </c>
      <c r="C460" s="2" t="s">
        <v>1764</v>
      </c>
      <c r="D460" s="2" t="s">
        <v>1765</v>
      </c>
      <c r="E460" s="2" t="n">
        <v>2026</v>
      </c>
      <c r="F460" s="2" t="s">
        <v>1766</v>
      </c>
      <c r="G460" s="2" t="s">
        <v>946</v>
      </c>
      <c r="H460" s="2" t="s">
        <v>1767</v>
      </c>
      <c r="I460" s="2" t="s">
        <v>24</v>
      </c>
      <c r="J460" s="2"/>
      <c r="K460" s="2" t="s">
        <v>24</v>
      </c>
      <c r="L460" s="2"/>
      <c r="M460" s="2" t="s">
        <v>24</v>
      </c>
      <c r="N460" s="2" t="s">
        <v>35</v>
      </c>
      <c r="O460" s="2" t="s">
        <v>36</v>
      </c>
      <c r="P460" s="2"/>
      <c r="Q460" s="3"/>
      <c r="R460" s="3"/>
    </row>
    <row r="461" customFormat="false" ht="35.05" hidden="false" customHeight="false" outlineLevel="0" collapsed="false">
      <c r="A461" s="2" t="n">
        <v>460</v>
      </c>
      <c r="B461" s="2" t="s">
        <v>942</v>
      </c>
      <c r="C461" s="2" t="s">
        <v>1768</v>
      </c>
      <c r="D461" s="2" t="s">
        <v>1769</v>
      </c>
      <c r="E461" s="2" t="n">
        <v>2025</v>
      </c>
      <c r="F461" s="2" t="s">
        <v>1639</v>
      </c>
      <c r="G461" s="2" t="s">
        <v>946</v>
      </c>
      <c r="H461" s="2" t="s">
        <v>1770</v>
      </c>
      <c r="I461" s="2"/>
      <c r="J461" s="2"/>
      <c r="K461" s="2" t="s">
        <v>24</v>
      </c>
      <c r="L461" s="2"/>
      <c r="M461" s="2" t="s">
        <v>24</v>
      </c>
      <c r="N461" s="2" t="s">
        <v>128</v>
      </c>
      <c r="O461" s="2" t="s">
        <v>129</v>
      </c>
      <c r="P461" s="2"/>
      <c r="Q461" s="3"/>
      <c r="R461" s="3"/>
    </row>
    <row r="462" customFormat="false" ht="35.05" hidden="false" customHeight="false" outlineLevel="0" collapsed="false">
      <c r="A462" s="2" t="n">
        <v>461</v>
      </c>
      <c r="B462" s="2" t="s">
        <v>942</v>
      </c>
      <c r="C462" s="2" t="s">
        <v>1771</v>
      </c>
      <c r="D462" s="2" t="s">
        <v>1772</v>
      </c>
      <c r="E462" s="2" t="n">
        <v>2025</v>
      </c>
      <c r="F462" s="2" t="s">
        <v>47</v>
      </c>
      <c r="G462" s="2" t="s">
        <v>1057</v>
      </c>
      <c r="H462" s="2" t="s">
        <v>1773</v>
      </c>
      <c r="I462" s="2"/>
      <c r="J462" s="2"/>
      <c r="K462" s="2" t="s">
        <v>24</v>
      </c>
      <c r="L462" s="2"/>
      <c r="M462" s="2"/>
      <c r="N462" s="2" t="s">
        <v>128</v>
      </c>
      <c r="O462" s="2" t="s">
        <v>129</v>
      </c>
      <c r="P462" s="2"/>
      <c r="Q462" s="3"/>
      <c r="R462" s="3"/>
    </row>
    <row r="463" customFormat="false" ht="35.05" hidden="false" customHeight="false" outlineLevel="0" collapsed="false">
      <c r="A463" s="2" t="n">
        <v>462</v>
      </c>
      <c r="B463" s="2" t="s">
        <v>942</v>
      </c>
      <c r="C463" s="2" t="s">
        <v>1774</v>
      </c>
      <c r="D463" s="2" t="s">
        <v>1775</v>
      </c>
      <c r="E463" s="2" t="n">
        <v>2026</v>
      </c>
      <c r="F463" s="2" t="s">
        <v>1776</v>
      </c>
      <c r="G463" s="2" t="s">
        <v>946</v>
      </c>
      <c r="H463" s="2" t="s">
        <v>1777</v>
      </c>
      <c r="I463" s="2"/>
      <c r="J463" s="2"/>
      <c r="K463" s="2" t="s">
        <v>24</v>
      </c>
      <c r="L463" s="2"/>
      <c r="M463" s="2" t="s">
        <v>24</v>
      </c>
      <c r="N463" s="2" t="s">
        <v>25</v>
      </c>
      <c r="O463" s="2" t="s">
        <v>26</v>
      </c>
      <c r="P463" s="2"/>
      <c r="Q463" s="3"/>
      <c r="R463" s="3"/>
    </row>
    <row r="464" customFormat="false" ht="23.85" hidden="false" customHeight="false" outlineLevel="0" collapsed="false">
      <c r="A464" s="2" t="n">
        <v>463</v>
      </c>
      <c r="B464" s="2" t="s">
        <v>942</v>
      </c>
      <c r="C464" s="2" t="s">
        <v>1778</v>
      </c>
      <c r="D464" s="2" t="s">
        <v>1779</v>
      </c>
      <c r="E464" s="2" t="n">
        <v>2022</v>
      </c>
      <c r="F464" s="2" t="s">
        <v>1780</v>
      </c>
      <c r="G464" s="2" t="s">
        <v>946</v>
      </c>
      <c r="H464" s="2" t="s">
        <v>1781</v>
      </c>
      <c r="I464" s="2"/>
      <c r="J464" s="2"/>
      <c r="K464" s="2" t="s">
        <v>24</v>
      </c>
      <c r="L464" s="2"/>
      <c r="M464" s="2"/>
      <c r="N464" s="2" t="s">
        <v>128</v>
      </c>
      <c r="O464" s="2" t="s">
        <v>129</v>
      </c>
      <c r="P464" s="2"/>
      <c r="Q464" s="3"/>
      <c r="R464" s="3"/>
    </row>
    <row r="465" customFormat="false" ht="46.25" hidden="false" customHeight="false" outlineLevel="0" collapsed="false">
      <c r="A465" s="2" t="n">
        <v>464</v>
      </c>
      <c r="B465" s="2" t="s">
        <v>942</v>
      </c>
      <c r="C465" s="2" t="s">
        <v>1782</v>
      </c>
      <c r="D465" s="2" t="s">
        <v>1783</v>
      </c>
      <c r="E465" s="2" t="n">
        <v>2025</v>
      </c>
      <c r="F465" s="2" t="s">
        <v>1784</v>
      </c>
      <c r="G465" s="2" t="s">
        <v>946</v>
      </c>
      <c r="H465" s="2" t="s">
        <v>1785</v>
      </c>
      <c r="I465" s="2"/>
      <c r="J465" s="2"/>
      <c r="K465" s="2"/>
      <c r="L465" s="2"/>
      <c r="M465" s="2"/>
      <c r="N465" s="2" t="s">
        <v>128</v>
      </c>
      <c r="O465" s="2" t="s">
        <v>129</v>
      </c>
      <c r="P465" s="2"/>
      <c r="Q465" s="3"/>
      <c r="R465" s="3"/>
    </row>
    <row r="466" customFormat="false" ht="46.25" hidden="false" customHeight="false" outlineLevel="0" collapsed="false">
      <c r="A466" s="2" t="n">
        <v>465</v>
      </c>
      <c r="B466" s="2" t="s">
        <v>942</v>
      </c>
      <c r="C466" s="2" t="s">
        <v>1786</v>
      </c>
      <c r="D466" s="2" t="s">
        <v>1787</v>
      </c>
      <c r="E466" s="2" t="n">
        <v>2026</v>
      </c>
      <c r="F466" s="2" t="s">
        <v>1005</v>
      </c>
      <c r="G466" s="2" t="s">
        <v>946</v>
      </c>
      <c r="H466" s="2" t="s">
        <v>1788</v>
      </c>
      <c r="I466" s="2"/>
      <c r="J466" s="2"/>
      <c r="K466" s="2" t="s">
        <v>24</v>
      </c>
      <c r="L466" s="2"/>
      <c r="M466" s="2" t="s">
        <v>24</v>
      </c>
      <c r="N466" s="2" t="s">
        <v>25</v>
      </c>
      <c r="O466" s="2" t="s">
        <v>26</v>
      </c>
      <c r="P466" s="2"/>
      <c r="Q466" s="3"/>
      <c r="R466" s="3"/>
    </row>
    <row r="467" customFormat="false" ht="35.05" hidden="false" customHeight="false" outlineLevel="0" collapsed="false">
      <c r="A467" s="2" t="n">
        <v>466</v>
      </c>
      <c r="B467" s="2" t="s">
        <v>942</v>
      </c>
      <c r="C467" s="2" t="s">
        <v>1789</v>
      </c>
      <c r="D467" s="2" t="s">
        <v>1790</v>
      </c>
      <c r="E467" s="2" t="n">
        <v>2025</v>
      </c>
      <c r="F467" s="2" t="s">
        <v>1791</v>
      </c>
      <c r="G467" s="2" t="s">
        <v>946</v>
      </c>
      <c r="H467" s="2" t="s">
        <v>1792</v>
      </c>
      <c r="I467" s="2" t="s">
        <v>24</v>
      </c>
      <c r="J467" s="2"/>
      <c r="K467" s="2" t="s">
        <v>24</v>
      </c>
      <c r="L467" s="2"/>
      <c r="M467" s="2" t="s">
        <v>24</v>
      </c>
      <c r="N467" s="2" t="s">
        <v>35</v>
      </c>
      <c r="O467" s="2" t="s">
        <v>36</v>
      </c>
      <c r="P467" s="2"/>
      <c r="Q467" s="3"/>
      <c r="R467" s="3"/>
    </row>
    <row r="468" customFormat="false" ht="46.25" hidden="false" customHeight="false" outlineLevel="0" collapsed="false">
      <c r="A468" s="2" t="n">
        <v>467</v>
      </c>
      <c r="B468" s="2" t="s">
        <v>942</v>
      </c>
      <c r="C468" s="2" t="s">
        <v>1793</v>
      </c>
      <c r="D468" s="2" t="s">
        <v>1794</v>
      </c>
      <c r="E468" s="2" t="n">
        <v>2026</v>
      </c>
      <c r="F468" s="2" t="s">
        <v>954</v>
      </c>
      <c r="G468" s="2" t="s">
        <v>946</v>
      </c>
      <c r="H468" s="2" t="s">
        <v>1795</v>
      </c>
      <c r="I468" s="2" t="s">
        <v>24</v>
      </c>
      <c r="J468" s="2"/>
      <c r="K468" s="2" t="s">
        <v>24</v>
      </c>
      <c r="L468" s="2"/>
      <c r="M468" s="2" t="s">
        <v>24</v>
      </c>
      <c r="N468" s="2" t="s">
        <v>35</v>
      </c>
      <c r="O468" s="2" t="s">
        <v>36</v>
      </c>
      <c r="P468" s="2"/>
      <c r="Q468" s="3"/>
      <c r="R468" s="3"/>
    </row>
    <row r="469" customFormat="false" ht="46.25" hidden="false" customHeight="false" outlineLevel="0" collapsed="false">
      <c r="A469" s="2" t="n">
        <v>468</v>
      </c>
      <c r="B469" s="2" t="s">
        <v>942</v>
      </c>
      <c r="C469" s="2" t="s">
        <v>1796</v>
      </c>
      <c r="D469" s="2" t="s">
        <v>1797</v>
      </c>
      <c r="E469" s="2" t="n">
        <v>2025</v>
      </c>
      <c r="F469" s="2" t="s">
        <v>1798</v>
      </c>
      <c r="G469" s="2" t="s">
        <v>946</v>
      </c>
      <c r="H469" s="2" t="s">
        <v>1799</v>
      </c>
      <c r="I469" s="2"/>
      <c r="J469" s="2"/>
      <c r="K469" s="2" t="s">
        <v>24</v>
      </c>
      <c r="L469" s="2"/>
      <c r="M469" s="2" t="s">
        <v>24</v>
      </c>
      <c r="N469" s="2" t="s">
        <v>128</v>
      </c>
      <c r="O469" s="2" t="s">
        <v>129</v>
      </c>
      <c r="P469" s="2"/>
      <c r="Q469" s="3"/>
      <c r="R469" s="3"/>
    </row>
    <row r="470" customFormat="false" ht="46.25" hidden="false" customHeight="false" outlineLevel="0" collapsed="false">
      <c r="A470" s="2" t="n">
        <v>469</v>
      </c>
      <c r="B470" s="2" t="s">
        <v>942</v>
      </c>
      <c r="C470" s="2" t="s">
        <v>1800</v>
      </c>
      <c r="D470" s="2" t="s">
        <v>1801</v>
      </c>
      <c r="E470" s="2" t="n">
        <v>2023</v>
      </c>
      <c r="F470" s="2" t="s">
        <v>1802</v>
      </c>
      <c r="G470" s="2" t="s">
        <v>946</v>
      </c>
      <c r="H470" s="2" t="s">
        <v>1803</v>
      </c>
      <c r="I470" s="2"/>
      <c r="J470" s="2"/>
      <c r="K470" s="2" t="s">
        <v>24</v>
      </c>
      <c r="L470" s="2"/>
      <c r="M470" s="2"/>
      <c r="N470" s="2" t="s">
        <v>128</v>
      </c>
      <c r="O470" s="2" t="s">
        <v>129</v>
      </c>
      <c r="P470" s="2"/>
      <c r="Q470" s="3"/>
      <c r="R470" s="3"/>
    </row>
    <row r="471" customFormat="false" ht="46.25" hidden="false" customHeight="false" outlineLevel="0" collapsed="false">
      <c r="A471" s="2" t="n">
        <v>470</v>
      </c>
      <c r="B471" s="2" t="s">
        <v>942</v>
      </c>
      <c r="C471" s="2" t="s">
        <v>1804</v>
      </c>
      <c r="D471" s="2" t="s">
        <v>1805</v>
      </c>
      <c r="E471" s="2" t="n">
        <v>2026</v>
      </c>
      <c r="F471" s="2" t="s">
        <v>1221</v>
      </c>
      <c r="G471" s="2" t="s">
        <v>946</v>
      </c>
      <c r="H471" s="2" t="s">
        <v>1806</v>
      </c>
      <c r="I471" s="2" t="s">
        <v>24</v>
      </c>
      <c r="J471" s="2"/>
      <c r="K471" s="2" t="s">
        <v>24</v>
      </c>
      <c r="L471" s="2"/>
      <c r="M471" s="2" t="s">
        <v>24</v>
      </c>
      <c r="N471" s="2" t="s">
        <v>25</v>
      </c>
      <c r="O471" s="2" t="s">
        <v>26</v>
      </c>
      <c r="P471" s="2"/>
      <c r="Q471" s="3"/>
      <c r="R471" s="3"/>
    </row>
    <row r="472" customFormat="false" ht="35.05" hidden="false" customHeight="false" outlineLevel="0" collapsed="false">
      <c r="A472" s="2" t="n">
        <v>471</v>
      </c>
      <c r="B472" s="2" t="s">
        <v>942</v>
      </c>
      <c r="C472" s="2" t="s">
        <v>1807</v>
      </c>
      <c r="D472" s="2" t="s">
        <v>1808</v>
      </c>
      <c r="E472" s="2" t="n">
        <v>2025</v>
      </c>
      <c r="F472" s="2" t="s">
        <v>985</v>
      </c>
      <c r="G472" s="2" t="s">
        <v>946</v>
      </c>
      <c r="H472" s="2" t="s">
        <v>1809</v>
      </c>
      <c r="I472" s="2"/>
      <c r="J472" s="2"/>
      <c r="K472" s="2" t="s">
        <v>24</v>
      </c>
      <c r="L472" s="2"/>
      <c r="M472" s="2"/>
      <c r="N472" s="2" t="s">
        <v>128</v>
      </c>
      <c r="O472" s="2" t="s">
        <v>129</v>
      </c>
      <c r="P472" s="2"/>
      <c r="Q472" s="3"/>
      <c r="R472" s="3"/>
    </row>
    <row r="473" customFormat="false" ht="35.05" hidden="false" customHeight="false" outlineLevel="0" collapsed="false">
      <c r="A473" s="2" t="n">
        <v>472</v>
      </c>
      <c r="B473" s="2" t="s">
        <v>942</v>
      </c>
      <c r="C473" s="2" t="s">
        <v>1810</v>
      </c>
      <c r="D473" s="2" t="s">
        <v>1811</v>
      </c>
      <c r="E473" s="2" t="n">
        <v>2026</v>
      </c>
      <c r="F473" s="2" t="s">
        <v>1812</v>
      </c>
      <c r="G473" s="2" t="s">
        <v>946</v>
      </c>
      <c r="H473" s="2" t="s">
        <v>1813</v>
      </c>
      <c r="I473" s="2" t="s">
        <v>24</v>
      </c>
      <c r="J473" s="2"/>
      <c r="K473" s="2" t="s">
        <v>24</v>
      </c>
      <c r="L473" s="2"/>
      <c r="M473" s="2" t="s">
        <v>24</v>
      </c>
      <c r="N473" s="2" t="s">
        <v>25</v>
      </c>
      <c r="O473" s="2" t="s">
        <v>26</v>
      </c>
      <c r="P473" s="2"/>
      <c r="Q473" s="3"/>
      <c r="R473" s="3"/>
    </row>
    <row r="474" customFormat="false" ht="23.85" hidden="false" customHeight="false" outlineLevel="0" collapsed="false">
      <c r="A474" s="2" t="n">
        <v>473</v>
      </c>
      <c r="B474" s="2" t="s">
        <v>942</v>
      </c>
      <c r="C474" s="2" t="s">
        <v>1814</v>
      </c>
      <c r="D474" s="2" t="s">
        <v>1815</v>
      </c>
      <c r="E474" s="2" t="n">
        <v>2026</v>
      </c>
      <c r="F474" s="2" t="s">
        <v>1816</v>
      </c>
      <c r="G474" s="2" t="s">
        <v>1057</v>
      </c>
      <c r="H474" s="2" t="s">
        <v>1817</v>
      </c>
      <c r="I474" s="2" t="s">
        <v>24</v>
      </c>
      <c r="J474" s="2"/>
      <c r="K474" s="2" t="s">
        <v>24</v>
      </c>
      <c r="L474" s="2"/>
      <c r="M474" s="2"/>
      <c r="N474" s="2" t="s">
        <v>25</v>
      </c>
      <c r="O474" s="2" t="s">
        <v>26</v>
      </c>
      <c r="P474" s="2"/>
      <c r="Q474" s="3"/>
      <c r="R474" s="3"/>
    </row>
    <row r="475" customFormat="false" ht="23.85" hidden="false" customHeight="false" outlineLevel="0" collapsed="false">
      <c r="A475" s="2" t="n">
        <v>474</v>
      </c>
      <c r="B475" s="2" t="s">
        <v>942</v>
      </c>
      <c r="C475" s="2" t="s">
        <v>1818</v>
      </c>
      <c r="D475" s="2" t="s">
        <v>1819</v>
      </c>
      <c r="E475" s="2" t="n">
        <v>2026</v>
      </c>
      <c r="F475" s="2" t="s">
        <v>1157</v>
      </c>
      <c r="G475" s="2" t="s">
        <v>946</v>
      </c>
      <c r="H475" s="2" t="s">
        <v>1820</v>
      </c>
      <c r="I475" s="2" t="s">
        <v>24</v>
      </c>
      <c r="J475" s="2"/>
      <c r="K475" s="2" t="s">
        <v>24</v>
      </c>
      <c r="L475" s="2"/>
      <c r="M475" s="2" t="s">
        <v>24</v>
      </c>
      <c r="N475" s="2" t="s">
        <v>158</v>
      </c>
      <c r="O475" s="2" t="s">
        <v>159</v>
      </c>
      <c r="P475" s="2"/>
      <c r="Q475" s="3"/>
      <c r="R475" s="3"/>
    </row>
    <row r="476" customFormat="false" ht="46.25" hidden="false" customHeight="false" outlineLevel="0" collapsed="false">
      <c r="A476" s="2" t="n">
        <v>475</v>
      </c>
      <c r="B476" s="2" t="s">
        <v>942</v>
      </c>
      <c r="C476" s="2" t="s">
        <v>1821</v>
      </c>
      <c r="D476" s="2" t="s">
        <v>1822</v>
      </c>
      <c r="E476" s="2" t="n">
        <v>2025</v>
      </c>
      <c r="F476" s="2" t="s">
        <v>47</v>
      </c>
      <c r="G476" s="2" t="s">
        <v>1057</v>
      </c>
      <c r="H476" s="2" t="s">
        <v>1823</v>
      </c>
      <c r="I476" s="2" t="s">
        <v>24</v>
      </c>
      <c r="J476" s="2"/>
      <c r="K476" s="2" t="s">
        <v>24</v>
      </c>
      <c r="L476" s="2"/>
      <c r="M476" s="2"/>
      <c r="N476" s="2" t="s">
        <v>158</v>
      </c>
      <c r="O476" s="2" t="s">
        <v>159</v>
      </c>
      <c r="P476" s="2"/>
      <c r="Q476" s="3"/>
      <c r="R476" s="3"/>
    </row>
    <row r="477" customFormat="false" ht="23.85" hidden="false" customHeight="false" outlineLevel="0" collapsed="false">
      <c r="A477" s="2" t="n">
        <v>476</v>
      </c>
      <c r="B477" s="2" t="s">
        <v>942</v>
      </c>
      <c r="C477" s="2" t="s">
        <v>1824</v>
      </c>
      <c r="D477" s="2" t="s">
        <v>1825</v>
      </c>
      <c r="E477" s="2" t="n">
        <v>2023</v>
      </c>
      <c r="F477" s="2" t="s">
        <v>577</v>
      </c>
      <c r="G477" s="2" t="s">
        <v>1057</v>
      </c>
      <c r="H477" s="2" t="s">
        <v>1826</v>
      </c>
      <c r="I477" s="2"/>
      <c r="J477" s="2"/>
      <c r="K477" s="2" t="s">
        <v>24</v>
      </c>
      <c r="L477" s="2"/>
      <c r="M477" s="2"/>
      <c r="N477" s="2" t="s">
        <v>25</v>
      </c>
      <c r="O477" s="2" t="s">
        <v>26</v>
      </c>
      <c r="P477" s="2"/>
      <c r="Q477" s="3"/>
      <c r="R477" s="3"/>
    </row>
    <row r="478" customFormat="false" ht="35.05" hidden="false" customHeight="false" outlineLevel="0" collapsed="false">
      <c r="A478" s="2" t="n">
        <v>477</v>
      </c>
      <c r="B478" s="2" t="s">
        <v>942</v>
      </c>
      <c r="C478" s="2" t="s">
        <v>1827</v>
      </c>
      <c r="D478" s="2" t="s">
        <v>1828</v>
      </c>
      <c r="E478" s="2" t="n">
        <v>2025</v>
      </c>
      <c r="F478" s="2" t="s">
        <v>577</v>
      </c>
      <c r="G478" s="2" t="s">
        <v>1057</v>
      </c>
      <c r="H478" s="2" t="s">
        <v>1829</v>
      </c>
      <c r="I478" s="2"/>
      <c r="J478" s="2"/>
      <c r="K478" s="2" t="s">
        <v>24</v>
      </c>
      <c r="L478" s="2"/>
      <c r="M478" s="2"/>
      <c r="N478" s="2" t="s">
        <v>128</v>
      </c>
      <c r="O478" s="2" t="s">
        <v>129</v>
      </c>
      <c r="P478" s="2"/>
      <c r="Q478" s="3"/>
      <c r="R478" s="3"/>
    </row>
    <row r="479" customFormat="false" ht="46.25" hidden="false" customHeight="false" outlineLevel="0" collapsed="false">
      <c r="A479" s="2" t="n">
        <v>478</v>
      </c>
      <c r="B479" s="2" t="s">
        <v>942</v>
      </c>
      <c r="C479" s="2" t="s">
        <v>1830</v>
      </c>
      <c r="D479" s="2" t="s">
        <v>1831</v>
      </c>
      <c r="E479" s="2" t="n">
        <v>2025</v>
      </c>
      <c r="F479" s="2" t="s">
        <v>1832</v>
      </c>
      <c r="G479" s="2" t="s">
        <v>946</v>
      </c>
      <c r="H479" s="2" t="s">
        <v>1833</v>
      </c>
      <c r="I479" s="2"/>
      <c r="J479" s="2"/>
      <c r="K479" s="2" t="s">
        <v>24</v>
      </c>
      <c r="L479" s="2"/>
      <c r="M479" s="2" t="s">
        <v>24</v>
      </c>
      <c r="N479" s="2" t="s">
        <v>128</v>
      </c>
      <c r="O479" s="2" t="s">
        <v>129</v>
      </c>
      <c r="P479" s="2"/>
      <c r="Q479" s="3"/>
      <c r="R479" s="3"/>
    </row>
    <row r="480" customFormat="false" ht="46.25" hidden="false" customHeight="false" outlineLevel="0" collapsed="false">
      <c r="A480" s="2" t="n">
        <v>479</v>
      </c>
      <c r="B480" s="2" t="s">
        <v>942</v>
      </c>
      <c r="C480" s="2" t="s">
        <v>1834</v>
      </c>
      <c r="D480" s="2" t="s">
        <v>1835</v>
      </c>
      <c r="E480" s="2" t="n">
        <v>2026</v>
      </c>
      <c r="F480" s="2" t="s">
        <v>1836</v>
      </c>
      <c r="G480" s="2" t="s">
        <v>946</v>
      </c>
      <c r="H480" s="2" t="s">
        <v>1837</v>
      </c>
      <c r="I480" s="2"/>
      <c r="J480" s="2"/>
      <c r="K480" s="2" t="s">
        <v>24</v>
      </c>
      <c r="L480" s="2"/>
      <c r="M480" s="2"/>
      <c r="N480" s="2" t="s">
        <v>128</v>
      </c>
      <c r="O480" s="2" t="s">
        <v>129</v>
      </c>
      <c r="P480" s="2"/>
      <c r="Q480" s="3"/>
      <c r="R480" s="3"/>
    </row>
    <row r="481" customFormat="false" ht="46.25" hidden="false" customHeight="false" outlineLevel="0" collapsed="false">
      <c r="A481" s="2" t="n">
        <v>480</v>
      </c>
      <c r="B481" s="2" t="s">
        <v>942</v>
      </c>
      <c r="C481" s="2" t="s">
        <v>1838</v>
      </c>
      <c r="D481" s="2" t="s">
        <v>1839</v>
      </c>
      <c r="E481" s="2" t="n">
        <v>2025</v>
      </c>
      <c r="F481" s="2" t="s">
        <v>1840</v>
      </c>
      <c r="G481" s="2" t="s">
        <v>946</v>
      </c>
      <c r="H481" s="2" t="s">
        <v>1841</v>
      </c>
      <c r="I481" s="2" t="s">
        <v>24</v>
      </c>
      <c r="J481" s="2"/>
      <c r="K481" s="2" t="s">
        <v>24</v>
      </c>
      <c r="L481" s="2"/>
      <c r="M481" s="2"/>
      <c r="N481" s="2" t="s">
        <v>35</v>
      </c>
      <c r="O481" s="2" t="s">
        <v>36</v>
      </c>
      <c r="P481" s="2"/>
      <c r="Q481" s="3"/>
      <c r="R481" s="3"/>
    </row>
    <row r="482" customFormat="false" ht="35.05" hidden="false" customHeight="false" outlineLevel="0" collapsed="false">
      <c r="A482" s="2" t="n">
        <v>481</v>
      </c>
      <c r="B482" s="2" t="s">
        <v>942</v>
      </c>
      <c r="C482" s="2" t="s">
        <v>1842</v>
      </c>
      <c r="D482" s="2" t="s">
        <v>1843</v>
      </c>
      <c r="E482" s="2" t="n">
        <v>2026</v>
      </c>
      <c r="F482" s="2" t="s">
        <v>1844</v>
      </c>
      <c r="G482" s="2" t="s">
        <v>946</v>
      </c>
      <c r="H482" s="2" t="s">
        <v>1845</v>
      </c>
      <c r="I482" s="2" t="s">
        <v>24</v>
      </c>
      <c r="J482" s="2"/>
      <c r="K482" s="2" t="s">
        <v>24</v>
      </c>
      <c r="L482" s="2"/>
      <c r="M482" s="2" t="s">
        <v>24</v>
      </c>
      <c r="N482" s="2" t="s">
        <v>35</v>
      </c>
      <c r="O482" s="2" t="s">
        <v>36</v>
      </c>
      <c r="P482" s="2"/>
      <c r="Q482" s="3"/>
      <c r="R482" s="3"/>
    </row>
    <row r="483" customFormat="false" ht="46.25" hidden="false" customHeight="false" outlineLevel="0" collapsed="false">
      <c r="A483" s="2" t="n">
        <v>482</v>
      </c>
      <c r="B483" s="2" t="s">
        <v>1846</v>
      </c>
      <c r="C483" s="2" t="s">
        <v>1847</v>
      </c>
      <c r="D483" s="2" t="s">
        <v>1848</v>
      </c>
      <c r="E483" s="2" t="n">
        <v>2026</v>
      </c>
      <c r="F483" s="2" t="s">
        <v>1849</v>
      </c>
      <c r="G483" s="2" t="s">
        <v>1850</v>
      </c>
      <c r="H483" s="2" t="s">
        <v>1851</v>
      </c>
      <c r="I483" s="2" t="s">
        <v>24</v>
      </c>
      <c r="J483" s="2"/>
      <c r="K483" s="2" t="s">
        <v>24</v>
      </c>
      <c r="L483" s="2"/>
      <c r="M483" s="2"/>
      <c r="N483" s="2" t="s">
        <v>35</v>
      </c>
      <c r="O483" s="2" t="s">
        <v>36</v>
      </c>
      <c r="P483" s="2"/>
      <c r="Q483" s="3"/>
      <c r="R483" s="3"/>
    </row>
    <row r="484" customFormat="false" ht="35.05" hidden="false" customHeight="false" outlineLevel="0" collapsed="false">
      <c r="A484" s="2" t="n">
        <v>483</v>
      </c>
      <c r="B484" s="2" t="s">
        <v>1846</v>
      </c>
      <c r="C484" s="2" t="s">
        <v>1852</v>
      </c>
      <c r="D484" s="2" t="s">
        <v>1853</v>
      </c>
      <c r="E484" s="2" t="n">
        <v>2025</v>
      </c>
      <c r="F484" s="2" t="s">
        <v>1854</v>
      </c>
      <c r="G484" s="2" t="s">
        <v>48</v>
      </c>
      <c r="H484" s="2" t="s">
        <v>1855</v>
      </c>
      <c r="I484" s="2" t="s">
        <v>24</v>
      </c>
      <c r="J484" s="2"/>
      <c r="K484" s="2" t="s">
        <v>24</v>
      </c>
      <c r="L484" s="2"/>
      <c r="M484" s="2"/>
      <c r="N484" s="2" t="s">
        <v>35</v>
      </c>
      <c r="O484" s="2" t="s">
        <v>36</v>
      </c>
      <c r="P484" s="2"/>
      <c r="Q484" s="3"/>
      <c r="R484" s="3"/>
    </row>
    <row r="485" customFormat="false" ht="23.85" hidden="false" customHeight="false" outlineLevel="0" collapsed="false">
      <c r="A485" s="2" t="n">
        <v>484</v>
      </c>
      <c r="B485" s="2" t="s">
        <v>1846</v>
      </c>
      <c r="C485" s="2" t="s">
        <v>1856</v>
      </c>
      <c r="D485" s="2" t="s">
        <v>1857</v>
      </c>
      <c r="E485" s="2" t="n">
        <v>2025</v>
      </c>
      <c r="F485" s="2" t="s">
        <v>1858</v>
      </c>
      <c r="G485" s="2" t="s">
        <v>48</v>
      </c>
      <c r="H485" s="2" t="s">
        <v>1859</v>
      </c>
      <c r="I485" s="2" t="s">
        <v>24</v>
      </c>
      <c r="J485" s="2"/>
      <c r="K485" s="2" t="s">
        <v>24</v>
      </c>
      <c r="L485" s="2"/>
      <c r="M485" s="2" t="s">
        <v>24</v>
      </c>
      <c r="N485" s="2" t="s">
        <v>25</v>
      </c>
      <c r="O485" s="2" t="s">
        <v>26</v>
      </c>
      <c r="P485" s="2"/>
      <c r="Q485" s="3"/>
      <c r="R485" s="3"/>
    </row>
    <row r="486" customFormat="false" ht="23.85" hidden="false" customHeight="false" outlineLevel="0" collapsed="false">
      <c r="A486" s="2" t="n">
        <v>485</v>
      </c>
      <c r="B486" s="2" t="s">
        <v>1846</v>
      </c>
      <c r="C486" s="2" t="s">
        <v>1860</v>
      </c>
      <c r="D486" s="2" t="s">
        <v>1861</v>
      </c>
      <c r="E486" s="2" t="n">
        <v>2026</v>
      </c>
      <c r="F486" s="2" t="s">
        <v>1862</v>
      </c>
      <c r="G486" s="2" t="s">
        <v>48</v>
      </c>
      <c r="H486" s="2" t="s">
        <v>1863</v>
      </c>
      <c r="I486" s="2" t="s">
        <v>24</v>
      </c>
      <c r="J486" s="2"/>
      <c r="K486" s="2" t="s">
        <v>24</v>
      </c>
      <c r="L486" s="2"/>
      <c r="M486" s="2" t="s">
        <v>24</v>
      </c>
      <c r="N486" s="2" t="s">
        <v>25</v>
      </c>
      <c r="O486" s="2" t="s">
        <v>26</v>
      </c>
      <c r="P486" s="2"/>
      <c r="Q486" s="3"/>
      <c r="R486" s="3"/>
    </row>
    <row r="487" customFormat="false" ht="23.85" hidden="false" customHeight="false" outlineLevel="0" collapsed="false">
      <c r="A487" s="2" t="n">
        <v>486</v>
      </c>
      <c r="B487" s="2" t="s">
        <v>1846</v>
      </c>
      <c r="C487" s="2" t="s">
        <v>1864</v>
      </c>
      <c r="D487" s="2" t="s">
        <v>1865</v>
      </c>
      <c r="E487" s="2" t="n">
        <v>2025</v>
      </c>
      <c r="F487" s="2" t="s">
        <v>1854</v>
      </c>
      <c r="G487" s="2" t="s">
        <v>48</v>
      </c>
      <c r="H487" s="2" t="s">
        <v>1866</v>
      </c>
      <c r="I487" s="2" t="s">
        <v>24</v>
      </c>
      <c r="J487" s="2" t="s">
        <v>24</v>
      </c>
      <c r="K487" s="2" t="s">
        <v>24</v>
      </c>
      <c r="L487" s="2"/>
      <c r="M487" s="2" t="s">
        <v>24</v>
      </c>
      <c r="N487" s="2" t="s">
        <v>35</v>
      </c>
      <c r="O487" s="2" t="s">
        <v>36</v>
      </c>
      <c r="P487" s="2"/>
      <c r="Q487" s="3"/>
      <c r="R487" s="3"/>
    </row>
    <row r="488" customFormat="false" ht="23.85" hidden="false" customHeight="false" outlineLevel="0" collapsed="false">
      <c r="A488" s="2" t="n">
        <v>487</v>
      </c>
      <c r="B488" s="2" t="s">
        <v>1846</v>
      </c>
      <c r="C488" s="2" t="s">
        <v>1867</v>
      </c>
      <c r="D488" s="2" t="s">
        <v>1868</v>
      </c>
      <c r="E488" s="2" t="n">
        <v>2026</v>
      </c>
      <c r="F488" s="2" t="s">
        <v>1869</v>
      </c>
      <c r="G488" s="2" t="s">
        <v>48</v>
      </c>
      <c r="H488" s="2" t="s">
        <v>1870</v>
      </c>
      <c r="I488" s="2" t="s">
        <v>24</v>
      </c>
      <c r="J488" s="2"/>
      <c r="K488" s="2" t="s">
        <v>24</v>
      </c>
      <c r="L488" s="2"/>
      <c r="M488" s="2" t="s">
        <v>24</v>
      </c>
      <c r="N488" s="2" t="s">
        <v>25</v>
      </c>
      <c r="O488" s="2" t="s">
        <v>26</v>
      </c>
      <c r="P488" s="2"/>
      <c r="Q488" s="3"/>
      <c r="R488" s="3"/>
    </row>
    <row r="489" customFormat="false" ht="23.85" hidden="false" customHeight="false" outlineLevel="0" collapsed="false">
      <c r="A489" s="2" t="n">
        <v>488</v>
      </c>
      <c r="B489" s="2" t="s">
        <v>1846</v>
      </c>
      <c r="C489" s="2" t="s">
        <v>1871</v>
      </c>
      <c r="D489" s="2" t="s">
        <v>1872</v>
      </c>
      <c r="E489" s="2" t="n">
        <v>2025</v>
      </c>
      <c r="F489" s="2" t="s">
        <v>1873</v>
      </c>
      <c r="G489" s="2" t="s">
        <v>48</v>
      </c>
      <c r="H489" s="2" t="s">
        <v>1874</v>
      </c>
      <c r="I489" s="2" t="s">
        <v>24</v>
      </c>
      <c r="J489" s="2"/>
      <c r="K489" s="2" t="s">
        <v>24</v>
      </c>
      <c r="L489" s="2"/>
      <c r="M489" s="2" t="s">
        <v>24</v>
      </c>
      <c r="N489" s="2" t="s">
        <v>25</v>
      </c>
      <c r="O489" s="2" t="s">
        <v>26</v>
      </c>
      <c r="P489" s="2"/>
      <c r="Q489" s="3"/>
      <c r="R489" s="3"/>
    </row>
  </sheetData>
  <autoFilter ref="A1:R4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6" min="6" style="0" width="36"/>
  </cols>
  <sheetData>
    <row r="1" customFormat="false" ht="15" hidden="false" customHeight="false" outlineLevel="0" collapsed="false">
      <c r="A1" s="6" t="s">
        <v>1875</v>
      </c>
    </row>
    <row r="2" customFormat="false" ht="15" hidden="false" customHeight="false" outlineLevel="0" collapsed="false">
      <c r="A2" s="7" t="s">
        <v>1876</v>
      </c>
      <c r="B2" s="7" t="s">
        <v>18</v>
      </c>
      <c r="C2" s="7" t="s">
        <v>942</v>
      </c>
      <c r="D2" s="7" t="s">
        <v>1846</v>
      </c>
      <c r="E2" s="7" t="s">
        <v>1877</v>
      </c>
      <c r="F2" s="7" t="s">
        <v>1878</v>
      </c>
    </row>
    <row r="3" customFormat="false" ht="15" hidden="false" customHeight="false" outlineLevel="0" collapsed="false">
      <c r="A3" s="8" t="s">
        <v>1879</v>
      </c>
      <c r="B3" s="9" t="n">
        <v>245</v>
      </c>
      <c r="C3" s="9" t="n">
        <v>363</v>
      </c>
      <c r="D3" s="9" t="n">
        <v>95</v>
      </c>
      <c r="E3" s="8" t="n">
        <f aca="false">B3+C3+D3</f>
        <v>703</v>
      </c>
      <c r="F3" s="8" t="s">
        <v>1880</v>
      </c>
    </row>
    <row r="4" customFormat="false" ht="15" hidden="false" customHeight="false" outlineLevel="0" collapsed="false">
      <c r="A4" s="8" t="s">
        <v>1881</v>
      </c>
      <c r="B4" s="9" t="n">
        <v>2</v>
      </c>
      <c r="C4" s="9" t="n">
        <v>0</v>
      </c>
      <c r="D4" s="9" t="n">
        <v>0</v>
      </c>
      <c r="E4" s="8" t="n">
        <f aca="false">B4+C4+D4</f>
        <v>2</v>
      </c>
      <c r="F4" s="8"/>
    </row>
    <row r="5" customFormat="false" ht="15" hidden="false" customHeight="false" outlineLevel="0" collapsed="false">
      <c r="A5" s="8" t="s">
        <v>1882</v>
      </c>
      <c r="B5" s="9" t="n">
        <v>0</v>
      </c>
      <c r="C5" s="9" t="n">
        <v>0</v>
      </c>
      <c r="D5" s="9" t="n">
        <v>1</v>
      </c>
      <c r="E5" s="8" t="n">
        <f aca="false">B5+C5+D5</f>
        <v>1</v>
      </c>
      <c r="F5" s="8" t="s">
        <v>1883</v>
      </c>
    </row>
    <row r="6" customFormat="false" ht="15" hidden="false" customHeight="false" outlineLevel="0" collapsed="false">
      <c r="A6" s="8" t="s">
        <v>1884</v>
      </c>
      <c r="B6" s="8" t="n">
        <v>0</v>
      </c>
      <c r="C6" s="9" t="n">
        <v>125</v>
      </c>
      <c r="D6" s="9" t="n">
        <v>87</v>
      </c>
      <c r="E6" s="8" t="n">
        <f aca="false">B6+C6+D6</f>
        <v>212</v>
      </c>
      <c r="F6" s="8" t="s">
        <v>1885</v>
      </c>
    </row>
    <row r="7" customFormat="false" ht="15" hidden="false" customHeight="false" outlineLevel="0" collapsed="false">
      <c r="A7" s="8" t="s">
        <v>1886</v>
      </c>
      <c r="B7" s="8" t="n">
        <f aca="false">COUNTIF(Screening!B2:B489,"Scopus")</f>
        <v>243</v>
      </c>
      <c r="C7" s="8" t="n">
        <f aca="false">COUNTIF(Screening!B2:B489,"IEEE Xplore")</f>
        <v>238</v>
      </c>
      <c r="D7" s="8" t="n">
        <f aca="false">COUNTIF(Screening!B2:B489,"Web of Science")</f>
        <v>7</v>
      </c>
      <c r="E7" s="8" t="n">
        <f aca="false">B7+C7+D7</f>
        <v>488</v>
      </c>
      <c r="F7" s="8"/>
    </row>
    <row r="8" customFormat="false" ht="15" hidden="false" customHeight="false" outlineLevel="0" collapsed="false">
      <c r="A8" s="8" t="s">
        <v>1887</v>
      </c>
      <c r="B8" s="8" t="n">
        <f aca="false">COUNTIFS(Screening!B2:B489,"Scopus",Screening!N2:N489,"E1")</f>
        <v>38</v>
      </c>
      <c r="C8" s="8" t="n">
        <f aca="false">COUNTIFS(Screening!B2:B489,"IEEE Xplore",Screening!N2:N489,"E1")</f>
        <v>48</v>
      </c>
      <c r="D8" s="8" t="n">
        <f aca="false">COUNTIFS(Screening!B2:B489,"Web of Science",Screening!N2:N489,"E1")</f>
        <v>4</v>
      </c>
      <c r="E8" s="8" t="n">
        <f aca="false">B8+C8+D8</f>
        <v>90</v>
      </c>
      <c r="F8" s="8"/>
    </row>
    <row r="9" customFormat="false" ht="15" hidden="false" customHeight="false" outlineLevel="0" collapsed="false">
      <c r="A9" s="8" t="s">
        <v>1888</v>
      </c>
      <c r="B9" s="8" t="n">
        <f aca="false">COUNTIFS(Screening!B2:B489,"Scopus",Screening!N2:N489,"E2")</f>
        <v>4</v>
      </c>
      <c r="C9" s="8" t="n">
        <f aca="false">COUNTIFS(Screening!B2:B489,"IEEE Xplore",Screening!N2:N489,"E2")</f>
        <v>3</v>
      </c>
      <c r="D9" s="8" t="n">
        <f aca="false">COUNTIFS(Screening!B2:B489,"Web of Science",Screening!N2:N489,"E2")</f>
        <v>0</v>
      </c>
      <c r="E9" s="8" t="n">
        <f aca="false">B9+C9+D9</f>
        <v>7</v>
      </c>
      <c r="F9" s="8"/>
    </row>
    <row r="10" customFormat="false" ht="15" hidden="false" customHeight="false" outlineLevel="0" collapsed="false">
      <c r="A10" s="8" t="s">
        <v>1889</v>
      </c>
      <c r="B10" s="8" t="n">
        <f aca="false">COUNTIFS(Screening!B2:B489,"Scopus",Screening!N2:N489,"E3")</f>
        <v>10</v>
      </c>
      <c r="C10" s="8" t="n">
        <f aca="false">COUNTIFS(Screening!B2:B489,"IEEE Xplore",Screening!N2:N489,"E3")</f>
        <v>103</v>
      </c>
      <c r="D10" s="8" t="n">
        <f aca="false">COUNTIFS(Screening!B2:B489,"Web of Science",Screening!N2:N489,"E3")</f>
        <v>0</v>
      </c>
      <c r="E10" s="8" t="n">
        <f aca="false">B10+C10+D10</f>
        <v>113</v>
      </c>
      <c r="F10" s="8"/>
    </row>
    <row r="11" customFormat="false" ht="15" hidden="false" customHeight="false" outlineLevel="0" collapsed="false">
      <c r="A11" s="8" t="s">
        <v>1890</v>
      </c>
      <c r="B11" s="8" t="n">
        <f aca="false">COUNTIFS(Screening!B2:B489,"Scopus",Screening!N2:N489,"E4")</f>
        <v>13</v>
      </c>
      <c r="C11" s="8" t="n">
        <f aca="false">COUNTIFS(Screening!B2:B489,"IEEE Xplore",Screening!N2:N489,"E4")</f>
        <v>13</v>
      </c>
      <c r="D11" s="8" t="n">
        <f aca="false">COUNTIFS(Screening!B2:B489,"Web of Science",Screening!N2:N489,"E4")</f>
        <v>0</v>
      </c>
      <c r="E11" s="8" t="n">
        <f aca="false">B11+C11+D11</f>
        <v>26</v>
      </c>
      <c r="F11" s="8"/>
    </row>
    <row r="12" customFormat="false" ht="15" hidden="false" customHeight="false" outlineLevel="0" collapsed="false">
      <c r="A12" s="8" t="s">
        <v>1891</v>
      </c>
      <c r="B12" s="8" t="n">
        <f aca="false">COUNTIFS(Screening!B2:B489,"Scopus",Screening!N2:N489,"E5")</f>
        <v>0</v>
      </c>
      <c r="C12" s="8" t="n">
        <f aca="false">COUNTIFS(Screening!B2:B489,"IEEE Xplore",Screening!N2:N489,"E5")</f>
        <v>18</v>
      </c>
      <c r="D12" s="8" t="n">
        <f aca="false">COUNTIFS(Screening!B2:B489,"Web of Science",Screening!N2:N489,"E5")</f>
        <v>0</v>
      </c>
      <c r="E12" s="8" t="n">
        <f aca="false">B12+C12+D12</f>
        <v>18</v>
      </c>
      <c r="F12" s="8"/>
    </row>
    <row r="13" customFormat="false" ht="15" hidden="false" customHeight="false" outlineLevel="0" collapsed="false">
      <c r="A13" s="8" t="s">
        <v>1892</v>
      </c>
      <c r="B13" s="8" t="n">
        <f aca="false">COUNTIFS(Screening!B2:B489,"Scopus",Screening!N2:N489,"INCLUDE")</f>
        <v>178</v>
      </c>
      <c r="C13" s="8" t="n">
        <f aca="false">COUNTIFS(Screening!B2:B489,"IEEE Xplore",Screening!N2:N489,"INCLUDE")</f>
        <v>53</v>
      </c>
      <c r="D13" s="8" t="n">
        <f aca="false">COUNTIFS(Screening!B2:B489,"Web of Science",Screening!N2:N489,"INCLUDE")</f>
        <v>3</v>
      </c>
      <c r="E13" s="8" t="n">
        <f aca="false">B13+C13+D13</f>
        <v>234</v>
      </c>
      <c r="F13" s="8"/>
    </row>
    <row r="14" customFormat="false" ht="15" hidden="false" customHeight="false" outlineLevel="0" collapsed="false">
      <c r="A14" s="8" t="s">
        <v>1893</v>
      </c>
      <c r="B14" s="8" t="n">
        <f aca="false">B7-SUM(B8:B13)</f>
        <v>0</v>
      </c>
      <c r="C14" s="8" t="n">
        <f aca="false">C7-SUM(C8:C13)</f>
        <v>0</v>
      </c>
      <c r="D14" s="8" t="n">
        <f aca="false">D7-SUM(D8:D13)</f>
        <v>0</v>
      </c>
      <c r="E14" s="8" t="n">
        <f aca="false">E7-SUM(E8:E13)</f>
        <v>0</v>
      </c>
      <c r="F14" s="8" t="s">
        <v>1894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0"/>
  </cols>
  <sheetData>
    <row r="1" customFormat="false" ht="15" hidden="false" customHeight="false" outlineLevel="0" collapsed="false">
      <c r="A1" s="10" t="s">
        <v>1895</v>
      </c>
      <c r="B1" s="11" t="s">
        <v>1896</v>
      </c>
    </row>
    <row r="2" customFormat="false" ht="35.05" hidden="false" customHeight="false" outlineLevel="0" collapsed="false">
      <c r="A2" s="10" t="s">
        <v>1897</v>
      </c>
      <c r="B2" s="11" t="s">
        <v>1898</v>
      </c>
    </row>
    <row r="3" customFormat="false" ht="35.05" hidden="false" customHeight="false" outlineLevel="0" collapsed="false">
      <c r="A3" s="10" t="s">
        <v>1899</v>
      </c>
      <c r="B3" s="11" t="s">
        <v>1900</v>
      </c>
    </row>
    <row r="4" customFormat="false" ht="23.85" hidden="false" customHeight="false" outlineLevel="0" collapsed="false">
      <c r="A4" s="10" t="s">
        <v>1901</v>
      </c>
      <c r="B4" s="11" t="s">
        <v>1902</v>
      </c>
    </row>
    <row r="5" customFormat="false" ht="23.85" hidden="false" customHeight="false" outlineLevel="0" collapsed="false">
      <c r="A5" s="10" t="s">
        <v>1903</v>
      </c>
      <c r="B5" s="11" t="s">
        <v>1904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2026-10-01T03:24:12Z</dcterms:created>
  <dc:creator>openpyxl</dc:creator>
  <dc:description/>
  <dc:language>en-US</dc:language>
  <cp:lastModifiedBy/>
  <dcterms:modified xsi:type="dcterms:W3CDTF">2026-10-01T03:24:12Z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